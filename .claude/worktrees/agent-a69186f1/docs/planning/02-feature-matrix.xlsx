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-Özet" sheetId="1" state="visible" r:id="rId3"/>
    <sheet name="2-Özellik Matrisi" sheetId="2" state="visible" r:id="rId4"/>
    <sheet name="3-Fiyat" sheetId="3" state="visible" r:id="rId5"/>
    <sheet name="4-Ağrı→Yol" sheetId="4" state="visible" r:id="rId6"/>
    <sheet name="5-MVP Kapsamı" sheetId="5" state="visible" r:id="rId7"/>
    <sheet name="6-Moa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<sst xmlns="http://schemas.openxmlformats.org/spreadsheetml/2006/main" count="868" uniqueCount="499">
  <si>
    <t xml:space="preserve">Yeni Envanter Projesi — Özellik Matrisi</t>
  </si>
  <si>
    <t xml:space="preserve">Sortly vs inFlow vs Yeni Ürün (MVP → V1 → V2)</t>
  </si>
  <si>
    <t xml:space="preserve">Hazırlanma tarihi</t>
  </si>
  <si>
    <t xml:space="preserve">2026-04-10</t>
  </si>
  <si>
    <t xml:space="preserve">Hedef segment</t>
  </si>
  <si>
    <t xml:space="preserve">Hibrit: Sortly basitliğinde, inFlow derinliğinde — mikro ve KOBİ işletmeleri</t>
  </si>
  <si>
    <t xml:space="preserve">Önceki proje</t>
  </si>
  <si>
    <t xml:space="preserve">SimplyCount (emekli). 754 test yeşil, Phase 40 tamamlanmıştı. Öğrenilenler taşındı.</t>
  </si>
  <si>
    <t xml:space="preserve">Strateji cümlesi</t>
  </si>
  <si>
    <t xml:space="preserve">Basit görün, güçlen. Hacme değil koltuğa fiyat. Gerçek-zamanlı ya da hiç. Mobil eş-parça. Entegrasyon demek çalışmak demek.</t>
  </si>
  <si>
    <t xml:space="preserve">Sheet 1 — Özet</t>
  </si>
  <si>
    <t xml:space="preserve">Bu sayfa</t>
  </si>
  <si>
    <t xml:space="preserve">Sheet 2 — Özellik Matrisi</t>
  </si>
  <si>
    <t xml:space="preserve">88 özellik, 10 kategori. Her satır: Sortly / inFlow / MVP / V1 / V2 / Not</t>
  </si>
  <si>
    <t xml:space="preserve">Sheet 3 — Fiyat Karşılaştırması</t>
  </si>
  <si>
    <t xml:space="preserve">Sortly ve inFlow paketleri + yeni ürün önerilen paketler</t>
  </si>
  <si>
    <t xml:space="preserve">Sheet 4 — Ağrı → Yol Haritası</t>
  </si>
  <si>
    <t xml:space="preserve">Şikayet kaynağı ve yeni ürünün cevabı; fırsat kategorisi (A/B/C/D)</t>
  </si>
  <si>
    <t xml:space="preserve">Sheet 5 — MVP Kapsamı</t>
  </si>
  <si>
    <t xml:space="preserve">MVP içeriği — sadece 'must' özellikler, 10 haftalık hedef sprint planı</t>
  </si>
  <si>
    <t xml:space="preserve">Sheet 6 — Moat özellikleri</t>
  </si>
  <si>
    <t xml:space="preserve">Rakipler karşısında belirleyici farklar</t>
  </si>
  <si>
    <t xml:space="preserve">Renk kodları</t>
  </si>
  <si>
    <t xml:space="preserve">✅ Yeşil</t>
  </si>
  <si>
    <t xml:space="preserve">Özellik var veya MVP kapsamında</t>
  </si>
  <si>
    <t xml:space="preserve">⚠️ Sarı</t>
  </si>
  <si>
    <t xml:space="preserve">Kısmî, üst plana gated veya eksik ergonomi</t>
  </si>
  <si>
    <t xml:space="preserve">❌ Kırmızı</t>
  </si>
  <si>
    <t xml:space="preserve">Özellik yok ya da kullanıcıya göre bozuk</t>
  </si>
  <si>
    <t xml:space="preserve">◻ Gri</t>
  </si>
  <si>
    <t xml:space="preserve">Kategori başlığı veya etkisiz</t>
  </si>
  <si>
    <t xml:space="preserve">#</t>
  </si>
  <si>
    <t xml:space="preserve">Kategori</t>
  </si>
  <si>
    <t xml:space="preserve">Özellik</t>
  </si>
  <si>
    <t xml:space="preserve">Sortly</t>
  </si>
  <si>
    <t xml:space="preserve">inFlow</t>
  </si>
  <si>
    <t xml:space="preserve">Yeni — MVP</t>
  </si>
  <si>
    <t xml:space="preserve">Yeni — V1</t>
  </si>
  <si>
    <t xml:space="preserve">Yeni — V2</t>
  </si>
  <si>
    <t xml:space="preserve">Neden / Not</t>
  </si>
  <si>
    <t xml:space="preserve">Item / Katalog</t>
  </si>
  <si>
    <t xml:space="preserve">Item CRUD (ad, foto, qty, birim, fiyat)</t>
  </si>
  <si>
    <t xml:space="preserve">Var</t>
  </si>
  <si>
    <t xml:space="preserve">MVP</t>
  </si>
  <si>
    <t xml:space="preserve">Temel envanter. Sortly'nin foto-ilk kartı iyi bir referans; inFlow'un tab'lı detayı fazla ağır.</t>
  </si>
  <si>
    <t xml:space="preserve">Çoklu foto + drag-reorder</t>
  </si>
  <si>
    <t xml:space="preserve">Var (hero)</t>
  </si>
  <si>
    <t xml:space="preserve">Sortly'nin imza özelliği; kopyalanmalı ama tek kolon değil mobile-first layout ile.</t>
  </si>
  <si>
    <t xml:space="preserve">Nested klasör / folder tree</t>
  </si>
  <si>
    <t xml:space="preserve">Sortly'de breadcrumb yok — biz tam path göstereceğiz.</t>
  </si>
  <si>
    <t xml:space="preserve">Breadcrumb + tam yol gösterimi</t>
  </si>
  <si>
    <t xml:space="preserve">Yok</t>
  </si>
  <si>
    <t xml:space="preserve">Sortly şikayeti. Cheap, high-value.</t>
  </si>
  <si>
    <t xml:space="preserve">Grid + List + Compact view</t>
  </si>
  <si>
    <t xml:space="preserve">Default mobile = grid, default desktop = list.</t>
  </si>
  <si>
    <t xml:space="preserve">Custom sıralama (drag to reorder)</t>
  </si>
  <si>
    <t xml:space="preserve">Sınırlı</t>
  </si>
  <si>
    <t xml:space="preserve">V1 core</t>
  </si>
  <si>
    <t xml:space="preserve">App Store yorumunda Sortly şikayeti.</t>
  </si>
  <si>
    <t xml:space="preserve">Bulk edit (seç → topluca güncelle)</t>
  </si>
  <si>
    <t xml:space="preserve">En çok tekrar eden Sortly şikayeti. Her liste ekranında varsayılan.</t>
  </si>
  <si>
    <t xml:space="preserve">Bulk move / delete / print</t>
  </si>
  <si>
    <t xml:space="preserve">Ek aksiyonlar aynı toolbar'dan.</t>
  </si>
  <si>
    <t xml:space="preserve">Variants (renk, beden, matris)</t>
  </si>
  <si>
    <t xml:space="preserve">Var (global 2-level)</t>
  </si>
  <si>
    <t xml:space="preserve">V2</t>
  </si>
  <si>
    <t xml:space="preserve">Müşteri sinyaline kadar bekle. Architecture hazır, UI sonra.</t>
  </si>
  <si>
    <t xml:space="preserve">Bundle / kit (multi-item composite)</t>
  </si>
  <si>
    <t xml:space="preserve">Kısmî</t>
  </si>
  <si>
    <t xml:space="preserve">SC'de vardı, deneyim tekrar kullanılacak.</t>
  </si>
  <si>
    <t xml:space="preserve">Soft-delete + Trash</t>
  </si>
  <si>
    <t xml:space="preserve">Var (deactivate)</t>
  </si>
  <si>
    <t xml:space="preserve">Veri güvenliği.</t>
  </si>
  <si>
    <t xml:space="preserve">Trash → Delete Forever</t>
  </si>
  <si>
    <t xml:space="preserve">Sortly açığı; audit-safety için zorunlu.</t>
  </si>
  <si>
    <t xml:space="preserve">Bulk restore from trash</t>
  </si>
  <si>
    <t xml:space="preserve">Sortly açığı.</t>
  </si>
  <si>
    <t xml:space="preserve">Custom Fields</t>
  </si>
  <si>
    <t xml:space="preserve">Custom field sayısı limiti</t>
  </si>
  <si>
    <t xml:space="preserve">1 (Free)</t>
  </si>
  <si>
    <t xml:space="preserve">10 slot</t>
  </si>
  <si>
    <t xml:space="preserve">Sınırsız</t>
  </si>
  <si>
    <t xml:space="preserve">Hardcoded slot yok; schema-less key/value.</t>
  </si>
  <si>
    <t xml:space="preserve">Field tipleri (text/num/date/bool/dropdown)</t>
  </si>
  <si>
    <t xml:space="preserve">12 tip</t>
  </si>
  <si>
    <t xml:space="preserve">4 tip</t>
  </si>
  <si>
    <t xml:space="preserve">Sortly 12, inFlow 4. Biz 12+ tipi MVP'de veririz.</t>
  </si>
  <si>
    <t xml:space="preserve">Formula / hesaplanmış alan</t>
  </si>
  <si>
    <t xml:space="preserve">SC'de vardı; moat element.</t>
  </si>
  <si>
    <t xml:space="preserve">Multi-select dropdown</t>
  </si>
  <si>
    <t xml:space="preserve">Yok (single)</t>
  </si>
  <si>
    <t xml:space="preserve">Küçük ama her iki rakipte yok.</t>
  </si>
  <si>
    <t xml:space="preserve">Scanner tip (secondary barcode)</t>
  </si>
  <si>
    <t xml:space="preserve">Cheap, Sortly'nin güzel fikri; kopyalanmalı.</t>
  </si>
  <si>
    <t xml:space="preserve">File attachment</t>
  </si>
  <si>
    <t xml:space="preserve">Ultra only</t>
  </si>
  <si>
    <t xml:space="preserve">Sortly'de Ultra'da; bizde ücretsiz.</t>
  </si>
  <si>
    <t xml:space="preserve">Tag (isim + renk + ikon + açıklama)</t>
  </si>
  <si>
    <t xml:space="preserve">Sadece isim</t>
  </si>
  <si>
    <t xml:space="preserve">Sortly'nin tag'i fakir; biz zengin tag objesi.</t>
  </si>
  <si>
    <t xml:space="preserve">Stok / Envanter</t>
  </si>
  <si>
    <t xml:space="preserve">Append-only movement ledger</t>
  </si>
  <si>
    <t xml:space="preserve">Zorunlu mimari. Tüm raporlar buradan türer.</t>
  </si>
  <si>
    <t xml:space="preserve">Owned / Reserved / Available / On-order / In-transit</t>
  </si>
  <si>
    <t xml:space="preserve">Var (5 durum)</t>
  </si>
  <si>
    <t xml:space="preserve">inFlow'un güçlü yanı; biz aynı modeli alıyoruz.</t>
  </si>
  <si>
    <t xml:space="preserve">Gerçek-zamanlı 'Available' hesabı</t>
  </si>
  <si>
    <t xml:space="preserve">Yok (bozuk)</t>
  </si>
  <si>
    <t xml:space="preserve">Sortly'nin en büyük şikayeti. Ledger'dan türetilmiş alan.</t>
  </si>
  <si>
    <t xml:space="preserve">Min level + low stock alert</t>
  </si>
  <si>
    <t xml:space="preserve">Advanced+</t>
  </si>
  <si>
    <t xml:space="preserve">Temel.</t>
  </si>
  <si>
    <t xml:space="preserve">Expiration / date alerts</t>
  </si>
  <si>
    <t xml:space="preserve">Add-on</t>
  </si>
  <si>
    <t xml:space="preserve">Bizde ücretsiz.</t>
  </si>
  <si>
    <t xml:space="preserve">Multi-location</t>
  </si>
  <si>
    <t xml:space="preserve">Var (tüm planlar)</t>
  </si>
  <si>
    <t xml:space="preserve">Var (paid)</t>
  </si>
  <si>
    <t xml:space="preserve">Limit yok; plan farkı seat + özellik derinliği.</t>
  </si>
  <si>
    <t xml:space="preserve">Sublocation (bin/aisle)</t>
  </si>
  <si>
    <t xml:space="preserve">Var (klasör trick)</t>
  </si>
  <si>
    <t xml:space="preserve">Var (global toggle)</t>
  </si>
  <si>
    <t xml:space="preserve">Hiyerarşik, opsiyonel toggle.</t>
  </si>
  <si>
    <t xml:space="preserve">Stock transfer (lokasyonlar arası)</t>
  </si>
  <si>
    <t xml:space="preserve">Var (3-state)</t>
  </si>
  <si>
    <t xml:space="preserve">Draft → In transit → Received.</t>
  </si>
  <si>
    <t xml:space="preserve">Stock adjustment (nedeni ile)</t>
  </si>
  <si>
    <t xml:space="preserve">User-editable adjustment reasons.</t>
  </si>
  <si>
    <t xml:space="preserve">Return-to-origin shortcut</t>
  </si>
  <si>
    <t xml:space="preserve">Küçük ama yaygın iş akışı.</t>
  </si>
  <si>
    <t xml:space="preserve">Sayım Motoru</t>
  </si>
  <si>
    <t xml:space="preserve">Basit tek-sayım (single count)</t>
  </si>
  <si>
    <t xml:space="preserve">Core.</t>
  </si>
  <si>
    <t xml:space="preserve">Full / Cycle / Spot / Blind / Double-blind / Directed</t>
  </si>
  <si>
    <t xml:space="preserve">SC'den taşınan 6 tip; moat.</t>
  </si>
  <si>
    <t xml:space="preserve">Snapshot-at-creation variance</t>
  </si>
  <si>
    <t xml:space="preserve">inFlow'dan ilham; zorunlu.</t>
  </si>
  <si>
    <t xml:space="preserve">Canlı progress + kim ne saydı</t>
  </si>
  <si>
    <t xml:space="preserve">Multi-user safety.</t>
  </si>
  <si>
    <t xml:space="preserve">Route optimization (warehouse yürüyüşü)</t>
  </si>
  <si>
    <t xml:space="preserve">SC moat. Kimsede yok.</t>
  </si>
  <si>
    <t xml:space="preserve">Barkod scan-to-count (mobil)</t>
  </si>
  <si>
    <t xml:space="preserve">Var (add-on)</t>
  </si>
  <si>
    <t xml:space="preserve">Mobil ana ürünün parçası.</t>
  </si>
  <si>
    <t xml:space="preserve">Denetlenebilir sayım geçmişi</t>
  </si>
  <si>
    <t xml:space="preserve">Audit trail.</t>
  </si>
  <si>
    <t xml:space="preserve">Re-count / spot verify</t>
  </si>
  <si>
    <t xml:space="preserve">Variance sonrası hedef tekrar say.</t>
  </si>
  <si>
    <t xml:space="preserve">Sat/Alım</t>
  </si>
  <si>
    <t xml:space="preserve">Purchase Order (PO)</t>
  </si>
  <si>
    <t xml:space="preserve">Var (dual tax)</t>
  </si>
  <si>
    <t xml:space="preserve">Her iki teardown'da da #1 eksik. V1'de.</t>
  </si>
  <si>
    <t xml:space="preserve">Sales Order (SO)</t>
  </si>
  <si>
    <t xml:space="preserve">SO → pick → ship → invoice.</t>
  </si>
  <si>
    <t xml:space="preserve">Pick List (internal fulfillment)</t>
  </si>
  <si>
    <t xml:space="preserve">Var (picking heuristics)</t>
  </si>
  <si>
    <t xml:space="preserve">Küçük, yaygın talep.</t>
  </si>
  <si>
    <t xml:space="preserve">Invoice / receipt üretimi</t>
  </si>
  <si>
    <t xml:space="preserve">QBO sync</t>
  </si>
  <si>
    <t xml:space="preserve">SO'nun devamı.</t>
  </si>
  <si>
    <t xml:space="preserve">Customer (müşteri) yönetimi</t>
  </si>
  <si>
    <t xml:space="preserve">B2B pazarına açılmak için.</t>
  </si>
  <si>
    <t xml:space="preserve">Vendor (tedarikçi) yönetimi</t>
  </si>
  <si>
    <t xml:space="preserve">PO'nun karşılığı.</t>
  </si>
  <si>
    <t xml:space="preserve">Quote / Proposal</t>
  </si>
  <si>
    <t xml:space="preserve">PO/SO stabilize olduktan sonra.</t>
  </si>
  <si>
    <t xml:space="preserve">Partial receive / backorder</t>
  </si>
  <si>
    <t xml:space="preserve">PO'nun hijyen parçası.</t>
  </si>
  <si>
    <t xml:space="preserve">B2B Showroom / wholesale portal</t>
  </si>
  <si>
    <t xml:space="preserve">Var (paid add-on)</t>
  </si>
  <si>
    <t xml:space="preserve">Ayrı ürün yüzü; v2 sonrası.</t>
  </si>
  <si>
    <t xml:space="preserve">Üretim</t>
  </si>
  <si>
    <t xml:space="preserve">BOM / Bill of materials</t>
  </si>
  <si>
    <t xml:space="preserve">Ayrı pazar. Mimari izin versin.</t>
  </si>
  <si>
    <t xml:space="preserve">Work orders</t>
  </si>
  <si>
    <t xml:space="preserve">BOM ile birlikte.</t>
  </si>
  <si>
    <t xml:space="preserve">Reactive cost update on BOM</t>
  </si>
  <si>
    <t xml:space="preserve">Yok (şikayet)</t>
  </si>
  <si>
    <t xml:space="preserve">inFlow'un açığı. Eğer yaparsak doğru yapalım.</t>
  </si>
  <si>
    <t xml:space="preserve">Rapor / Insights</t>
  </si>
  <si>
    <t xml:space="preserve">Temel raporlar (stok, hareket, düşük stok)</t>
  </si>
  <si>
    <t xml:space="preserve">Var (6 temel)</t>
  </si>
  <si>
    <t xml:space="preserve">Var (49 rapor)</t>
  </si>
  <si>
    <t xml:space="preserve">Core analytics.</t>
  </si>
  <si>
    <t xml:space="preserve">Sütun seçici + saved view</t>
  </si>
  <si>
    <t xml:space="preserve">Paid only</t>
  </si>
  <si>
    <t xml:space="preserve">Ücretsiz. Herkes ister.</t>
  </si>
  <si>
    <t xml:space="preserve">'Zero stock hariç tut' gibi temel filtre</t>
  </si>
  <si>
    <t xml:space="preserve">Paid</t>
  </si>
  <si>
    <t xml:space="preserve">Paid (şikayet)</t>
  </si>
  <si>
    <t xml:space="preserve">Capterra şikayeti. Temel.</t>
  </si>
  <si>
    <t xml:space="preserve">Scheduled report (email/Slack)</t>
  </si>
  <si>
    <t xml:space="preserve">Premium only</t>
  </si>
  <si>
    <t xml:space="preserve">Haftalık digest.</t>
  </si>
  <si>
    <t xml:space="preserve">CSV / PDF / XLSX export</t>
  </si>
  <si>
    <t xml:space="preserve">ABC / turnover / aging analysis</t>
  </si>
  <si>
    <t xml:space="preserve">SC'de vardı; moat taşınıyor.</t>
  </si>
  <si>
    <t xml:space="preserve">Insights motoru (anlatısal, trend, anomali)</t>
  </si>
  <si>
    <t xml:space="preserve">SC moat. Rakiplerde yok.</t>
  </si>
  <si>
    <t xml:space="preserve">Dashboard KPI kartları</t>
  </si>
  <si>
    <t xml:space="preserve">Zayıf</t>
  </si>
  <si>
    <t xml:space="preserve">Low-density, hero-metric odaklı.</t>
  </si>
  <si>
    <t xml:space="preserve">Forecast / reorder recommendation</t>
  </si>
  <si>
    <t xml:space="preserve">Demand x lead time + safety.</t>
  </si>
  <si>
    <t xml:space="preserve">Mobil &amp; Scan</t>
  </si>
  <si>
    <t xml:space="preserve">iOS + Android native app</t>
  </si>
  <si>
    <t xml:space="preserve">Var (güçlü)</t>
  </si>
  <si>
    <t xml:space="preserve">Var (zayıf)</t>
  </si>
  <si>
    <t xml:space="preserve">Eş-parça. Ayrı SKU değil.</t>
  </si>
  <si>
    <t xml:space="preserve">iPad / tablet optimize</t>
  </si>
  <si>
    <t xml:space="preserve">Sortly burada güçlü; kopyalanmalı.</t>
  </si>
  <si>
    <t xml:space="preserve">Offline mod + sync</t>
  </si>
  <si>
    <t xml:space="preserve">Saha işi için zorunlu.</t>
  </si>
  <si>
    <t xml:space="preserve">Sync conflict resolution UI</t>
  </si>
  <si>
    <t xml:space="preserve">Yeni moat. 'Çakışmalar' paneli.</t>
  </si>
  <si>
    <t xml:space="preserve">Kamera-barkod scan</t>
  </si>
  <si>
    <t xml:space="preserve">Harici Bluetooth scanner support</t>
  </si>
  <si>
    <t xml:space="preserve">Label / QR designer + print</t>
  </si>
  <si>
    <t xml:space="preserve">Var (dedicated)</t>
  </si>
  <si>
    <t xml:space="preserve">SC'de vardı, taşınıyor.</t>
  </si>
  <si>
    <t xml:space="preserve">Entegrasyon</t>
  </si>
  <si>
    <t xml:space="preserve">Webhooks</t>
  </si>
  <si>
    <t xml:space="preserve">Enterprise only</t>
  </si>
  <si>
    <t xml:space="preserve">Ücretsiz tier'da. GTM wedge.</t>
  </si>
  <si>
    <t xml:space="preserve">Public REST API</t>
  </si>
  <si>
    <t xml:space="preserve">Ücretsiz tier'da.</t>
  </si>
  <si>
    <t xml:space="preserve">Zapier / Make connector</t>
  </si>
  <si>
    <t xml:space="preserve">Webhook'tan sonra kolay.</t>
  </si>
  <si>
    <t xml:space="preserve">QuickBooks Online (çift yönlü)</t>
  </si>
  <si>
    <t xml:space="preserve">'Umutsuz' (şikayet)</t>
  </si>
  <si>
    <t xml:space="preserve">Sync health panel ile.</t>
  </si>
  <si>
    <t xml:space="preserve">Xero</t>
  </si>
  <si>
    <t xml:space="preserve">Ikinci büyük muhasebe.</t>
  </si>
  <si>
    <t xml:space="preserve">Shopify</t>
  </si>
  <si>
    <t xml:space="preserve">SMB e-ticaret.</t>
  </si>
  <si>
    <t xml:space="preserve">WooCommerce</t>
  </si>
  <si>
    <t xml:space="preserve">Slack / MS Teams notifications</t>
  </si>
  <si>
    <t xml:space="preserve">SC'de vardı, ücretsiz.</t>
  </si>
  <si>
    <t xml:space="preserve">Email notifications</t>
  </si>
  <si>
    <t xml:space="preserve">Sync sağlık ekranı</t>
  </si>
  <si>
    <t xml:space="preserve">Görünür sync durumu + çatışma çözümü. Yeni moat.</t>
  </si>
  <si>
    <t xml:space="preserve">Yönetim &amp; UX</t>
  </si>
  <si>
    <t xml:space="preserve">Seat-bazlı fiyat (item limiti yok)</t>
  </si>
  <si>
    <t xml:space="preserve">Yok (item-based)</t>
  </si>
  <si>
    <t xml:space="preserve">En önemli GTM kararı. Sortly şikayetine direkt cevap.</t>
  </si>
  <si>
    <t xml:space="preserve">&lt; 3 plan, add-on yok</t>
  </si>
  <si>
    <t xml:space="preserve">5 plan</t>
  </si>
  <si>
    <t xml:space="preserve">4 plan + add-on</t>
  </si>
  <si>
    <t xml:space="preserve">Karmaşıklık düşürücü.</t>
  </si>
  <si>
    <t xml:space="preserve">RBAC + roller</t>
  </si>
  <si>
    <t xml:space="preserve">Premium</t>
  </si>
  <si>
    <t xml:space="preserve">Admin, Manager, Operator, Viewer.</t>
  </si>
  <si>
    <t xml:space="preserve">Per-location permissions</t>
  </si>
  <si>
    <t xml:space="preserve">Çoklu şube.</t>
  </si>
  <si>
    <t xml:space="preserve">Audit log (kim ne yaptı)</t>
  </si>
  <si>
    <t xml:space="preserve">Append-only.</t>
  </si>
  <si>
    <t xml:space="preserve">Multi-language UI (TR, EN, DE, ES, FR, AR)</t>
  </si>
  <si>
    <t xml:space="preserve">Yok (EN only)</t>
  </si>
  <si>
    <t xml:space="preserve">i18n gün bir'den. Sortly şikayeti.</t>
  </si>
  <si>
    <t xml:space="preserve">Dark mode</t>
  </si>
  <si>
    <t xml:space="preserve">UX hijyen.</t>
  </si>
  <si>
    <t xml:space="preserve">Progressive disclosure (basit → derin)</t>
  </si>
  <si>
    <t xml:space="preserve">Yeni UX paradigması.</t>
  </si>
  <si>
    <t xml:space="preserve">Sample workspace → prod 'temiz geçiş'</t>
  </si>
  <si>
    <t xml:space="preserve">Var (belirsiz geçiş)</t>
  </si>
  <si>
    <t xml:space="preserve">Trial-to-paid dönüşümü.</t>
  </si>
  <si>
    <t xml:space="preserve">Bulk CSV import wizard (Quick + Advanced)</t>
  </si>
  <si>
    <t xml:space="preserve">Sortly'nin 4-adımlı sihirbazı iyi referans.</t>
  </si>
  <si>
    <t xml:space="preserve">CSV export</t>
  </si>
  <si>
    <t xml:space="preserve">Custom branding / logo</t>
  </si>
  <si>
    <t xml:space="preserve">Paid müşteri.</t>
  </si>
  <si>
    <t xml:space="preserve">Operatif AI ajanı (FAQ değil)</t>
  </si>
  <si>
    <t xml:space="preserve">Sage = FAQ bot</t>
  </si>
  <si>
    <t xml:space="preserve">'Yeni sayım aç', 'PO gönder', 'shrinkage nedeni'. Yeni moat.</t>
  </si>
  <si>
    <t xml:space="preserve">Inventory-threaded chat / yorum</t>
  </si>
  <si>
    <t xml:space="preserve">Labs alpha</t>
  </si>
  <si>
    <t xml:space="preserve">Labs Alpha'da; biz flanklarız.</t>
  </si>
  <si>
    <t xml:space="preserve">TOPLAM ÖZELLİK</t>
  </si>
  <si>
    <t xml:space="preserve">Plan</t>
  </si>
  <si>
    <t xml:space="preserve">Yeni ürün (önerilen)</t>
  </si>
  <si>
    <t xml:space="preserve">Free tier</t>
  </si>
  <si>
    <t xml:space="preserve">$0 · 1 seat · 100 item · 1 custom field</t>
  </si>
  <si>
    <t xml:space="preserve">Yok (14-day trial)</t>
  </si>
  <si>
    <t xml:space="preserve">$0 · 1 seat · SINIRSIZ item · temel sayım + ledger + PO yok</t>
  </si>
  <si>
    <t xml:space="preserve">Starter / Entry</t>
  </si>
  <si>
    <t xml:space="preserve">Advanced — $24/ay · 2 seat · 500 item · 5 field</t>
  </si>
  <si>
    <t xml:space="preserve">Entrepreneur — $129/ay · 2 seat · 1 loc · 100 SO/ay</t>
  </si>
  <si>
    <t xml:space="preserve">Starter — $19/ay · 3 seat · item sınırsız · PO + SO + bulk + webhooks</t>
  </si>
  <si>
    <t xml:space="preserve">Team</t>
  </si>
  <si>
    <t xml:space="preserve">Ultra — $74/ay · 5 seat · 2000 item · stock count, PO, pick list</t>
  </si>
  <si>
    <t xml:space="preserve">Small Business — $349/ay · 5 seat · multi-loc</t>
  </si>
  <si>
    <t xml:space="preserve">Team — $49/ay · 10 seat · multi-location + Insights + QBO/Xero</t>
  </si>
  <si>
    <t xml:space="preserve">Business / Pro</t>
  </si>
  <si>
    <t xml:space="preserve">Premium — $149/ay · 8 seat · 5000 item · QBO</t>
  </si>
  <si>
    <t xml:space="preserve">Mid-Size — $699/ay · 10 seat · Showroom Pro</t>
  </si>
  <si>
    <t xml:space="preserve">Business — $129/ay · 25 seat · RBAC + API limitsiz + AI ajan + forecast</t>
  </si>
  <si>
    <t xml:space="preserve">Enterprise</t>
  </si>
  <si>
    <t xml:space="preserve">Custom · 12+ seat · API + webhooks + SSO</t>
  </si>
  <si>
    <t xml:space="preserve">Custom · SSO + CSM</t>
  </si>
  <si>
    <t xml:space="preserve">Custom · SSO + SLA + dedicated CSM + white-label</t>
  </si>
  <si>
    <t xml:space="preserve">Add-on yok</t>
  </si>
  <si>
    <t xml:space="preserve">Slack, Teams, QBO farklı planlarda</t>
  </si>
  <si>
    <t xml:space="preserve">Stockroom ($99-129), Manufacturing, Serial/lot, API, Onboarding $499</t>
  </si>
  <si>
    <t xml:space="preserve">HİÇ add-on yok. Her plan içinde her şey.</t>
  </si>
  <si>
    <t xml:space="preserve">Fiyatlama ekseni</t>
  </si>
  <si>
    <t xml:space="preserve">Item sayısı + seat + custom field</t>
  </si>
  <si>
    <t xml:space="preserve">Seat + SO/ay + location + feature tiers</t>
  </si>
  <si>
    <t xml:space="preserve">SADECE seat + özellik derinliği. Item limiti YOK.</t>
  </si>
  <si>
    <t xml:space="preserve">Fiyat stratejisi özeti</t>
  </si>
  <si>
    <t xml:space="preserve">• Sortly'nin #1 şikayeti fiyat — özellikle 'item-based' model. Yeni ürün SADECE seat + özellik derinliği.</t>
  </si>
  <si>
    <t xml:space="preserve">• inFlow'un #1 şikayeti add-on kaosu. Yeni ürün hiç add-on yok; plan ne diyorsa o.</t>
  </si>
  <si>
    <t xml:space="preserve">• Free tier 'trial' değil gerçek bir kullanılabilir plan olsun. 1 kişinin mikro envanter takibi için yeterli.</t>
  </si>
  <si>
    <t xml:space="preserve">• Starter ($19/ay) fiyat kırıcı: Sortly Advanced ($24/ay) ve inFlow Entrepreneur ($129/ay) arasında Sortly'i alttan, inFlow'u ortadan kırıyor.</t>
  </si>
  <si>
    <t xml:space="preserve">• Team ($49/ay) Sortly Ultra ($74/ay) ve inFlow Small Business ($349/ay) arası. Sortly'i feature parite ile, inFlow'u fiyat ile yeniyor.</t>
  </si>
  <si>
    <t xml:space="preserve">• Business ($129/ay) Sortly Premium ($149/ay) ve inFlow Mid-Size ($699/ay). Tam yarı fiyatına inFlow muadili.</t>
  </si>
  <si>
    <t xml:space="preserve">• AI ajan, forecast, API limitsiz → Business'tan. Enterprise bir 'satış hakkı' değil; gerçek bir dikey.</t>
  </si>
  <si>
    <t xml:space="preserve">Ağrı noktası</t>
  </si>
  <si>
    <t xml:space="preserve">Kaynak (kim şikayet ediyor)</t>
  </si>
  <si>
    <t xml:space="preserve">Yeni ürünün cevabı</t>
  </si>
  <si>
    <t xml:space="preserve">Faz</t>
  </si>
  <si>
    <t xml:space="preserve">Maliyet (1-5)</t>
  </si>
  <si>
    <t xml:space="preserve">A</t>
  </si>
  <si>
    <t xml:space="preserve">Item-bazlı fiyat, âni zam</t>
  </si>
  <si>
    <t xml:space="preserve">Sortly kullanıcıları (%300 zam)</t>
  </si>
  <si>
    <t xml:space="preserve">Seat-bazlı, item limiti yok, 3 plan, no add-on</t>
  </si>
  <si>
    <t xml:space="preserve">Bulk edit / bulk action yok</t>
  </si>
  <si>
    <t xml:space="preserve">Sortly + inFlow (App Store, Capterra)</t>
  </si>
  <si>
    <t xml:space="preserve">Her liste ekranında checkbox + toolbar</t>
  </si>
  <si>
    <t xml:space="preserve">Real-time 'Available' hesabı bozuk</t>
  </si>
  <si>
    <t xml:space="preserve">Sortly (pick list bug)</t>
  </si>
  <si>
    <t xml:space="preserve">Append-only ledger + türetilmiş alanlar</t>
  </si>
  <si>
    <t xml:space="preserve">Trash'tan kalıcı silme / bulk restore yok</t>
  </si>
  <si>
    <t xml:space="preserve">Sortly (audit risk)</t>
  </si>
  <si>
    <t xml:space="preserve">Multi-select + iki-yönlü aksiyon</t>
  </si>
  <si>
    <t xml:space="preserve">Nested klasörde breadcrumb yok</t>
  </si>
  <si>
    <t xml:space="preserve">Sortly (App Store)</t>
  </si>
  <si>
    <t xml:space="preserve">Her item kartında tam path</t>
  </si>
  <si>
    <t xml:space="preserve">Sadece İngilizce UI</t>
  </si>
  <si>
    <t xml:space="preserve">Sortly (global açık)</t>
  </si>
  <si>
    <t xml:space="preserve">6 dil gün bir'den</t>
  </si>
  <si>
    <t xml:space="preserve">Angry empty form (mount'ta validasyon hatası)</t>
  </si>
  <si>
    <t xml:space="preserve">Sortly (UX smell)</t>
  </si>
  <si>
    <t xml:space="preserve">Validate-on-blur/submit</t>
  </si>
  <si>
    <t xml:space="preserve">Tab state'i URL'de yok, deeplink kırık</t>
  </si>
  <si>
    <t xml:space="preserve">Her settings sekmesi deeplinkable</t>
  </si>
  <si>
    <t xml:space="preserve">Basit 'zero stock hariç tut' filtresi yok</t>
  </si>
  <si>
    <t xml:space="preserve">inFlow (Capterra)</t>
  </si>
  <si>
    <t xml:space="preserve">Her rapor ekranında sütun seçici + saved view + temel filtreler</t>
  </si>
  <si>
    <t xml:space="preserve">Tag sadece isim, zenginlik yok</t>
  </si>
  <si>
    <t xml:space="preserve">Renk + ikon + açıklama + sayaç</t>
  </si>
  <si>
    <t xml:space="preserve">B</t>
  </si>
  <si>
    <t xml:space="preserve">Tek-sayım only, double-blind yok</t>
  </si>
  <si>
    <t xml:space="preserve">Sortly gap</t>
  </si>
  <si>
    <t xml:space="preserve">6 sayım tipi + snapshot variance + directed route</t>
  </si>
  <si>
    <t xml:space="preserve">Mobil ayrı SKU / kısmi</t>
  </si>
  <si>
    <t xml:space="preserve">inFlow Stockroom</t>
  </si>
  <si>
    <t xml:space="preserve">Tek ürün, mobil = eş parça, offline-first</t>
  </si>
  <si>
    <t xml:space="preserve">Sadece tablo raporları, anlatısal yok</t>
  </si>
  <si>
    <t xml:space="preserve">Sortly + inFlow</t>
  </si>
  <si>
    <t xml:space="preserve">Insights motoru (trend + anomali + anlatı)</t>
  </si>
  <si>
    <t xml:space="preserve">V1</t>
  </si>
  <si>
    <t xml:space="preserve">API/webhooks Enterprise-only</t>
  </si>
  <si>
    <t xml:space="preserve">Ücretsiz tier'dan API + webhooks + Zapier/Make</t>
  </si>
  <si>
    <t xml:space="preserve">QBO sync 'umutsuz'</t>
  </si>
  <si>
    <t xml:space="preserve">Sync sağlık ekranı + conflict resolution</t>
  </si>
  <si>
    <t xml:space="preserve">AI bot sadece FAQ cevabı</t>
  </si>
  <si>
    <t xml:space="preserve">Sortly Sage</t>
  </si>
  <si>
    <t xml:space="preserve">Operatif AI ajanı (aksiyon alan)</t>
  </si>
  <si>
    <t xml:space="preserve">Append-only ledger yok</t>
  </si>
  <si>
    <t xml:space="preserve">Mimari zorunluluk; tüm rapor buradan türer</t>
  </si>
  <si>
    <t xml:space="preserve">Sample → prod geçişi muğlak</t>
  </si>
  <si>
    <t xml:space="preserve">inFlow + Sortly</t>
  </si>
  <si>
    <t xml:space="preserve">'Temiz geçiş' sihirbazı</t>
  </si>
  <si>
    <t xml:space="preserve">C</t>
  </si>
  <si>
    <t xml:space="preserve">Variants yok / 2-level ağır</t>
  </si>
  <si>
    <t xml:space="preserve">Sortly yok, inFlow ağır</t>
  </si>
  <si>
    <t xml:space="preserve">V2'de cartesian matris + SKU children</t>
  </si>
  <si>
    <t xml:space="preserve">BOM reactive cost update yok</t>
  </si>
  <si>
    <t xml:space="preserve">V2'de doğru reactive update ile</t>
  </si>
  <si>
    <t xml:space="preserve">B2B Showroom ayrı ürün</t>
  </si>
  <si>
    <t xml:space="preserve">V2'de showroom-lite + customer-specific katalog</t>
  </si>
  <si>
    <t xml:space="preserve">Sublocation tree opsiyonel değil</t>
  </si>
  <si>
    <t xml:space="preserve">inFlow farklı</t>
  </si>
  <si>
    <t xml:space="preserve">V1'de global toggle + hiyerarşik</t>
  </si>
  <si>
    <t xml:space="preserve">Serial/lot tracking add-on</t>
  </si>
  <si>
    <t xml:space="preserve">inFlow paid</t>
  </si>
  <si>
    <t xml:space="preserve">V1.5'ta dahili, gıda/pharma fitness</t>
  </si>
  <si>
    <t xml:space="preserve">D</t>
  </si>
  <si>
    <t xml:space="preserve">Custom fields slot olarak limitle</t>
  </si>
  <si>
    <t xml:space="preserve">inFlow 10-slot</t>
  </si>
  <si>
    <t xml:space="preserve">YAPMA. Schema-less.</t>
  </si>
  <si>
    <t xml:space="preserve">—</t>
  </si>
  <si>
    <t xml:space="preserve">Nested modal</t>
  </si>
  <si>
    <t xml:space="preserve">inFlow Custom Fields → Rename</t>
  </si>
  <si>
    <t xml:space="preserve">YAPMA. Tek seviyede çöz.</t>
  </si>
  <si>
    <t xml:space="preserve">Onboarding $499 one-time zorunlu</t>
  </si>
  <si>
    <t xml:space="preserve">YAPMA. Dahili.</t>
  </si>
  <si>
    <t xml:space="preserve">Sayım motoru tek-count</t>
  </si>
  <si>
    <t xml:space="preserve">YAPMA. 6 tip ver.</t>
  </si>
  <si>
    <t xml:space="preserve">Kategori A: Ücretsiz kazanç (MVP). Kategori B: Moat kurucu. Kategori C: V1+/V2. Kategori D: Yapmamak için not.</t>
  </si>
  <si>
    <t xml:space="preserve">Sprint</t>
  </si>
  <si>
    <t xml:space="preserve">Hafta</t>
  </si>
  <si>
    <t xml:space="preserve">Çıktı</t>
  </si>
  <si>
    <t xml:space="preserve">Kritik özellikler</t>
  </si>
  <si>
    <t xml:space="preserve">Başarı kriteri</t>
  </si>
  <si>
    <t xml:space="preserve">Sprint 0</t>
  </si>
  <si>
    <t xml:space="preserve">Hafta 0</t>
  </si>
  <si>
    <t xml:space="preserve">Temeller + mimari</t>
  </si>
  <si>
    <t xml:space="preserve">Platform seçimi kesinleşir · Tech stack kararları · CI/CD · i18n iskelet · ledger mimarisi · tasarım sistemi iskelet</t>
  </si>
  <si>
    <t xml:space="preserve">Boş uygulama derleniyor; CI yeşil</t>
  </si>
  <si>
    <t xml:space="preserve">Sprint 1</t>
  </si>
  <si>
    <t xml:space="preserve">Hafta 1-2</t>
  </si>
  <si>
    <t xml:space="preserve">Item CRUD + klasör</t>
  </si>
  <si>
    <t xml:space="preserve">Item model · foto + CRUD · nested klasör · breadcrumb · grid/list view · CSV export</t>
  </si>
  <si>
    <t xml:space="preserve">İlk 100 item eklenip aranabiliyor</t>
  </si>
  <si>
    <t xml:space="preserve">Sprint 2</t>
  </si>
  <si>
    <t xml:space="preserve">Hafta 3-4</t>
  </si>
  <si>
    <t xml:space="preserve">Ledger + stok durumları</t>
  </si>
  <si>
    <t xml:space="preserve">Append-only movement ledger · Owned/Reserved/Available · min level alert · basit stock adjustment + reason</t>
  </si>
  <si>
    <t xml:space="preserve">Real-time available doğru hesaplanıyor (race test)</t>
  </si>
  <si>
    <t xml:space="preserve">Sprint 3</t>
  </si>
  <si>
    <t xml:space="preserve">Hafta 5</t>
  </si>
  <si>
    <t xml:space="preserve">Bulk + Trash + tagler</t>
  </si>
  <si>
    <t xml:space="preserve">Bulk select/edit/move/delete · Trash + Delete Forever · zengin tag (renk/ikon/açıklama)</t>
  </si>
  <si>
    <t xml:space="preserve">50 item'ı tek aksiyonla taşıma testi yeşil</t>
  </si>
  <si>
    <t xml:space="preserve">Sprint 4</t>
  </si>
  <si>
    <t xml:space="preserve">Hafta 6-7</t>
  </si>
  <si>
    <t xml:space="preserve">Sayım motoru v1</t>
  </si>
  <si>
    <t xml:space="preserve">Snapshot-at-creation · 3 sayım tipi (full/cycle/spot) · mobil scan-to-count · variance + audit</t>
  </si>
  <si>
    <t xml:space="preserve">Gerçek cihazda sayım demo</t>
  </si>
  <si>
    <t xml:space="preserve">Sprint 5</t>
  </si>
  <si>
    <t xml:space="preserve">Hafta 8</t>
  </si>
  <si>
    <t xml:space="preserve">Custom fields + rapor core</t>
  </si>
  <si>
    <t xml:space="preserve">12 field tip (scanner + multi-select dahil) · 6 temel rapor · sütun seçici + saved view · zero-stock filtresi</t>
  </si>
  <si>
    <t xml:space="preserve">Her rapor PDF+CSV export çalışıyor</t>
  </si>
  <si>
    <t xml:space="preserve">Sprint 6</t>
  </si>
  <si>
    <t xml:space="preserve">Hafta 9</t>
  </si>
  <si>
    <t xml:space="preserve">Mobil + offline</t>
  </si>
  <si>
    <t xml:space="preserve">iOS + Android build · offline queue · sync conflict UI · kamera barkod · Bluetooth scanner</t>
  </si>
  <si>
    <t xml:space="preserve">Uçak modu testi: offline 50 işlem sonrası clean sync</t>
  </si>
  <si>
    <t xml:space="preserve">Sprint 7</t>
  </si>
  <si>
    <t xml:space="preserve">Hafta 10</t>
  </si>
  <si>
    <t xml:space="preserve">Entegrasyon + admin</t>
  </si>
  <si>
    <t xml:space="preserve">RBAC (4 rol) · audit log · webhooks · REST API · Slack/Teams bildirim · email · 6 dil UI</t>
  </si>
  <si>
    <t xml:space="preserve">Dış webhook çağrısı postman'de yeşil; 6 dil toggle</t>
  </si>
  <si>
    <t xml:space="preserve">Sprint 8</t>
  </si>
  <si>
    <t xml:space="preserve">Hafta 11</t>
  </si>
  <si>
    <t xml:space="preserve">Onboarding + sample → prod</t>
  </si>
  <si>
    <t xml:space="preserve">Guided onboarding · sample workspace · 'temiz geçiş' sihirbazı · CSV import Quick/Advanced · label designer</t>
  </si>
  <si>
    <t xml:space="preserve">Yeni hesap 10 dakikada ilk sayıma ulaşıyor</t>
  </si>
  <si>
    <t xml:space="preserve">Sprint 9</t>
  </si>
  <si>
    <t xml:space="preserve">Hafta 12</t>
  </si>
  <si>
    <t xml:space="preserve">Beta hardening</t>
  </si>
  <si>
    <t xml:space="preserve">Performans profili · crash free oranı · security audit · billing iskelet · fiyat sayfası · landing</t>
  </si>
  <si>
    <t xml:space="preserve">Beta kullanıcıya açılıyor; 754+ test yeşil</t>
  </si>
  <si>
    <t xml:space="preserve">Moat özelliği</t>
  </si>
  <si>
    <t xml:space="preserve">Rakipte durum</t>
  </si>
  <si>
    <t xml:space="preserve">Neden moat?</t>
  </si>
  <si>
    <t xml:space="preserve">Uygulama notu</t>
  </si>
  <si>
    <t xml:space="preserve">6 sayım tipi + snapshot + directed route</t>
  </si>
  <si>
    <t xml:space="preserve">Sortly: tek-sayım + Ultra ($74). inFlow: snapshot var, 6 tip yok. Kimse route optimization yapmıyor.</t>
  </si>
  <si>
    <t xml:space="preserve">Sayım = en önemli envanter hijyeni. Kimse tam çözmüyor. SC'den taşınan motor hazır.</t>
  </si>
  <si>
    <t xml:space="preserve">SC'den device agnostic olarak Flutter/web'e port. Double-blind iki operatöre özel akış.</t>
  </si>
  <si>
    <t xml:space="preserve">Append-only ledger + derived 'Available'</t>
  </si>
  <si>
    <t xml:space="preserve">Sortly: bozuk. inFlow: doğru ama overall karmaşık.</t>
  </si>
  <si>
    <t xml:space="preserve">Gerçek-zamanlı güven. Tüm raporlar buradan türer. Sortly'nin #1 şikayetine direkt cevap.</t>
  </si>
  <si>
    <t xml:space="preserve">PostgreSQL + event sourcing iskeleti. 'Materialized view' ile performans.</t>
  </si>
  <si>
    <t xml:space="preserve">Insights motoru (anlatısal + anomali)</t>
  </si>
  <si>
    <t xml:space="preserve">Sortly + inFlow: sadece tablo.</t>
  </si>
  <si>
    <t xml:space="preserve">SMB 'nedenini anlatan' rapor bekliyor. Tablo değil cümle.</t>
  </si>
  <si>
    <t xml:space="preserve">SC Insights kodu taşınır. LLM-backed narration sonradan.</t>
  </si>
  <si>
    <t xml:space="preserve">Mobil = eş parça (ayrı SKU değil)</t>
  </si>
  <si>
    <t xml:space="preserve">inFlow Stockroom ayrı SKU ($99-129/ay). Sortly mobil iyi ama web paritesi sınırlı.</t>
  </si>
  <si>
    <t xml:space="preserve">Saha kullanıcıları (van, depo, mağaza) tam mobil ister. Ek fiyatsız.</t>
  </si>
  <si>
    <t xml:space="preserve">Flutter (veya RN) native app tek kod tabanı. Offline-first.</t>
  </si>
  <si>
    <t xml:space="preserve">Ücretsiz webhook + REST API + Zapier/Make</t>
  </si>
  <si>
    <t xml:space="preserve">Sortly: Enterprise only. inFlow: add-on.</t>
  </si>
  <si>
    <t xml:space="preserve">Developer/teknik SMB segmenti burada kayıp. Ürün Hunt + Indie Hackers hikayesi.</t>
  </si>
  <si>
    <t xml:space="preserve">API Gateway + OpenAPI spec. Rate limit ve usage görünür.</t>
  </si>
  <si>
    <t xml:space="preserve">QBO/Xero sync sağlık ekranı + conflict resolution</t>
  </si>
  <si>
    <t xml:space="preserve">inFlow: 'umutsuz'. Sortly: sadece QBO, Premium.</t>
  </si>
  <si>
    <t xml:space="preserve">Muhasebe senkronu en çok ağrıyan yer. 'Gördüğüm sorunu çözebiliyorum' hissi moat.</t>
  </si>
  <si>
    <t xml:space="preserve">Webhook-based sync + iki-yönlü reconciliation + conflict resolver UI.</t>
  </si>
  <si>
    <t xml:space="preserve">Operatif AI ajanı</t>
  </si>
  <si>
    <t xml:space="preserve">Sortly Sage: FAQ bot. inFlow: yok.</t>
  </si>
  <si>
    <t xml:space="preserve">'Sayım aç', 'PO gönder', 'nedenini anlat' diyen ilk ürün olursak hikâye bu.</t>
  </si>
  <si>
    <t xml:space="preserve">Tool-calling + Claude/LLM. İlk versiyonda 10 temel komut.</t>
  </si>
  <si>
    <t xml:space="preserve">Seat-bazlı, item-sınırsız, add-on'suz fiyat</t>
  </si>
  <si>
    <t xml:space="preserve">Sortly: item-based. inFlow: seat + add-on kaosu.</t>
  </si>
  <si>
    <t xml:space="preserve">Sortly'nin en büyük yarası. Add-on olmaması satışta dürüstlük hikâyesi.</t>
  </si>
  <si>
    <t xml:space="preserve">3 plan + Enterprise. Hiç add-on yok. Her planın içinde her şey.</t>
  </si>
  <si>
    <t xml:space="preserve">Progressive disclosure UX</t>
  </si>
  <si>
    <t xml:space="preserve">Sortly: sabit. inFlow: 14 sidebar tek seferde.</t>
  </si>
  <si>
    <t xml:space="preserve">'Basit görünür ama güçlen' hissi. inFlow'un onboarding şikayetine direkt cevap.</t>
  </si>
  <si>
    <t xml:space="preserve">Onboarding aşamalı rol + milestone ile menü zenginleştir.</t>
  </si>
  <si>
    <t xml:space="preserve">i18n first-class (6 dil gün bir'den)</t>
  </si>
  <si>
    <t xml:space="preserve">Sortly: EN only. inFlow: kısmî.</t>
  </si>
  <si>
    <t xml:space="preserve">TR, AR, DE, ES, FR pazarları rakipler için açık.</t>
  </si>
  <si>
    <t xml:space="preserve">ICU message format + Crowdin/Weblate pipeline.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</si>
</sst>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F9C23C"/>
        <bgColor rgb="FFFF99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9C23C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30" hidden="false" customHeight="true" outlineLevel="0" collapsed="false">
      <c r="A4" s="3" t="s">
        <v>2</v>
      </c>
      <c r="B4" s="4" t="s">
        <v>3</v>
      </c>
    </row>
    <row r="5" customFormat="false" ht="30" hidden="false" customHeight="true" outlineLevel="0" collapsed="false">
      <c r="A5" s="3" t="s">
        <v>4</v>
      </c>
      <c r="B5" s="4" t="s">
        <v>5</v>
      </c>
    </row>
    <row r="6" customFormat="false" ht="30" hidden="false" customHeight="true" outlineLevel="0" collapsed="false">
      <c r="A6" s="3" t="s">
        <v>6</v>
      </c>
      <c r="B6" s="4" t="s">
        <v>7</v>
      </c>
    </row>
    <row r="7" customFormat="false" ht="30" hidden="false" customHeight="true" outlineLevel="0" collapsed="false">
      <c r="A7" s="3" t="s">
        <v>8</v>
      </c>
      <c r="B7" s="4" t="s">
        <v>9</v>
      </c>
    </row>
    <row r="8" customFormat="false" ht="30" hidden="false" customHeight="true" outlineLevel="0" collapsed="false">
      <c r="A8" s="3" t="s">
        <v>10</v>
      </c>
      <c r="B8" s="4" t="s">
        <v>11</v>
      </c>
    </row>
    <row r="9" customFormat="false" ht="30" hidden="false" customHeight="true" outlineLevel="0" collapsed="false">
      <c r="A9" s="3" t="s">
        <v>12</v>
      </c>
      <c r="B9" s="4" t="s">
        <v>13</v>
      </c>
    </row>
    <row r="10" customFormat="false" ht="30" hidden="false" customHeight="true" outlineLevel="0" collapsed="false">
      <c r="A10" s="3" t="s">
        <v>14</v>
      </c>
      <c r="B10" s="4" t="s">
        <v>15</v>
      </c>
    </row>
    <row r="11" customFormat="false" ht="30" hidden="false" customHeight="true" outlineLevel="0" collapsed="false">
      <c r="A11" s="3" t="s">
        <v>16</v>
      </c>
      <c r="B11" s="4" t="s">
        <v>17</v>
      </c>
    </row>
    <row r="12" customFormat="false" ht="30" hidden="false" customHeight="true" outlineLevel="0" collapsed="false">
      <c r="A12" s="3" t="s">
        <v>18</v>
      </c>
      <c r="B12" s="4" t="s">
        <v>19</v>
      </c>
    </row>
    <row r="13" customFormat="false" ht="30" hidden="false" customHeight="true" outlineLevel="0" collapsed="false">
      <c r="A13" s="3" t="s">
        <v>20</v>
      </c>
      <c r="B13" s="4" t="s">
        <v>21</v>
      </c>
    </row>
    <row r="15" customFormat="false" ht="15" hidden="false" customHeight="true" outlineLevel="0" collapsed="false">
      <c r="A15" s="5" t="s">
        <v>22</v>
      </c>
      <c r="B15" s="5"/>
    </row>
    <row r="16" customFormat="false" ht="15" hidden="false" customHeight="false" outlineLevel="0" collapsed="false">
      <c r="A16" s="3" t="s">
        <v>23</v>
      </c>
      <c r="B16" s="4" t="s">
        <v>24</v>
      </c>
    </row>
    <row r="17" customFormat="false" ht="15" hidden="false" customHeight="false" outlineLevel="0" collapsed="false">
      <c r="A17" s="3" t="s">
        <v>25</v>
      </c>
      <c r="B17" s="4" t="s">
        <v>26</v>
      </c>
    </row>
    <row r="18" customFormat="false" ht="15" hidden="false" customHeight="false" outlineLevel="0" collapsed="false">
      <c r="A18" s="3" t="s">
        <v>27</v>
      </c>
      <c r="B18" s="4" t="s">
        <v>28</v>
      </c>
    </row>
    <row r="19" customFormat="false" ht="15" hidden="false" customHeight="false" outlineLevel="0" collapsed="false">
      <c r="A19" s="3" t="s">
        <v>29</v>
      </c>
      <c r="B19" s="4" t="s">
        <v>30</v>
      </c>
    </row>
  </sheetData>
  <mergeCells count="3">
    <mergeCell ref="A1:B1"/>
    <mergeCell ref="A2:B2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8" min="4" style="0" width="14"/>
    <col collapsed="false" customWidth="true" hidden="false" outlineLevel="0" max="9" min="9" style="0" width="44"/>
  </cols>
  <sheetData>
    <row r="1" customFormat="false" ht="31.5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</row>
    <row r="2" customFormat="false" ht="31.5" hidden="false" customHeight="true" outlineLevel="0" collapsed="false">
      <c r="A2" s="7" t="n">
        <v>1</v>
      </c>
      <c r="B2" s="8" t="s">
        <v>40</v>
      </c>
      <c r="C2" s="4" t="s">
        <v>41</v>
      </c>
      <c r="D2" s="9" t="s">
        <v>42</v>
      </c>
      <c r="E2" s="9" t="s">
        <v>42</v>
      </c>
      <c r="F2" s="9" t="s">
        <v>43</v>
      </c>
      <c r="G2" s="10"/>
      <c r="H2" s="10"/>
      <c r="I2" s="4" t="s">
        <v>44</v>
      </c>
    </row>
    <row r="3" customFormat="false" ht="31.5" hidden="false" customHeight="true" outlineLevel="0" collapsed="false">
      <c r="A3" s="7" t="n">
        <v>2</v>
      </c>
      <c r="B3" s="8" t="s">
        <v>40</v>
      </c>
      <c r="C3" s="4" t="s">
        <v>45</v>
      </c>
      <c r="D3" s="10" t="s">
        <v>46</v>
      </c>
      <c r="E3" s="9" t="s">
        <v>42</v>
      </c>
      <c r="F3" s="9" t="s">
        <v>43</v>
      </c>
      <c r="G3" s="10"/>
      <c r="H3" s="10"/>
      <c r="I3" s="4" t="s">
        <v>47</v>
      </c>
    </row>
    <row r="4" customFormat="false" ht="31.5" hidden="false" customHeight="true" outlineLevel="0" collapsed="false">
      <c r="A4" s="7" t="n">
        <v>3</v>
      </c>
      <c r="B4" s="8" t="s">
        <v>40</v>
      </c>
      <c r="C4" s="4" t="s">
        <v>48</v>
      </c>
      <c r="D4" s="9" t="s">
        <v>42</v>
      </c>
      <c r="E4" s="9" t="s">
        <v>42</v>
      </c>
      <c r="F4" s="9" t="s">
        <v>43</v>
      </c>
      <c r="G4" s="10"/>
      <c r="H4" s="10"/>
      <c r="I4" s="4" t="s">
        <v>49</v>
      </c>
    </row>
    <row r="5" customFormat="false" ht="31.5" hidden="false" customHeight="true" outlineLevel="0" collapsed="false">
      <c r="A5" s="7" t="n">
        <v>4</v>
      </c>
      <c r="B5" s="8" t="s">
        <v>40</v>
      </c>
      <c r="C5" s="4" t="s">
        <v>50</v>
      </c>
      <c r="D5" s="11" t="s">
        <v>51</v>
      </c>
      <c r="E5" s="9" t="s">
        <v>42</v>
      </c>
      <c r="F5" s="9" t="s">
        <v>43</v>
      </c>
      <c r="G5" s="10"/>
      <c r="H5" s="10"/>
      <c r="I5" s="4" t="s">
        <v>52</v>
      </c>
    </row>
    <row r="6" customFormat="false" ht="31.5" hidden="false" customHeight="true" outlineLevel="0" collapsed="false">
      <c r="A6" s="7" t="n">
        <v>5</v>
      </c>
      <c r="B6" s="8" t="s">
        <v>40</v>
      </c>
      <c r="C6" s="4" t="s">
        <v>53</v>
      </c>
      <c r="D6" s="9" t="s">
        <v>42</v>
      </c>
      <c r="E6" s="9" t="s">
        <v>42</v>
      </c>
      <c r="F6" s="9" t="s">
        <v>43</v>
      </c>
      <c r="G6" s="10"/>
      <c r="H6" s="10"/>
      <c r="I6" s="4" t="s">
        <v>54</v>
      </c>
    </row>
    <row r="7" customFormat="false" ht="31.5" hidden="false" customHeight="true" outlineLevel="0" collapsed="false">
      <c r="A7" s="7" t="n">
        <v>6</v>
      </c>
      <c r="B7" s="8" t="s">
        <v>40</v>
      </c>
      <c r="C7" s="4" t="s">
        <v>55</v>
      </c>
      <c r="D7" s="11" t="s">
        <v>51</v>
      </c>
      <c r="E7" s="12" t="s">
        <v>56</v>
      </c>
      <c r="F7" s="10"/>
      <c r="G7" s="9" t="s">
        <v>57</v>
      </c>
      <c r="H7" s="10"/>
      <c r="I7" s="4" t="s">
        <v>58</v>
      </c>
    </row>
    <row r="8" customFormat="false" ht="31.5" hidden="false" customHeight="true" outlineLevel="0" collapsed="false">
      <c r="A8" s="7" t="n">
        <v>7</v>
      </c>
      <c r="B8" s="8" t="s">
        <v>40</v>
      </c>
      <c r="C8" s="4" t="s">
        <v>59</v>
      </c>
      <c r="D8" s="11" t="s">
        <v>51</v>
      </c>
      <c r="E8" s="12" t="s">
        <v>56</v>
      </c>
      <c r="F8" s="9" t="s">
        <v>43</v>
      </c>
      <c r="G8" s="10"/>
      <c r="H8" s="10"/>
      <c r="I8" s="4" t="s">
        <v>60</v>
      </c>
    </row>
    <row r="9" customFormat="false" ht="31.5" hidden="false" customHeight="true" outlineLevel="0" collapsed="false">
      <c r="A9" s="7" t="n">
        <v>8</v>
      </c>
      <c r="B9" s="8" t="s">
        <v>40</v>
      </c>
      <c r="C9" s="4" t="s">
        <v>61</v>
      </c>
      <c r="D9" s="11" t="s">
        <v>51</v>
      </c>
      <c r="E9" s="12" t="s">
        <v>56</v>
      </c>
      <c r="F9" s="9" t="s">
        <v>43</v>
      </c>
      <c r="G9" s="10"/>
      <c r="H9" s="10"/>
      <c r="I9" s="4" t="s">
        <v>62</v>
      </c>
    </row>
    <row r="10" customFormat="false" ht="31.5" hidden="false" customHeight="true" outlineLevel="0" collapsed="false">
      <c r="A10" s="7" t="n">
        <v>9</v>
      </c>
      <c r="B10" s="8" t="s">
        <v>40</v>
      </c>
      <c r="C10" s="4" t="s">
        <v>63</v>
      </c>
      <c r="D10" s="11" t="s">
        <v>51</v>
      </c>
      <c r="E10" s="10" t="s">
        <v>64</v>
      </c>
      <c r="F10" s="10"/>
      <c r="G10" s="10"/>
      <c r="H10" s="10" t="s">
        <v>65</v>
      </c>
      <c r="I10" s="4" t="s">
        <v>66</v>
      </c>
    </row>
    <row r="11" customFormat="false" ht="31.5" hidden="false" customHeight="true" outlineLevel="0" collapsed="false">
      <c r="A11" s="7" t="n">
        <v>10</v>
      </c>
      <c r="B11" s="8" t="s">
        <v>40</v>
      </c>
      <c r="C11" s="4" t="s">
        <v>67</v>
      </c>
      <c r="D11" s="11" t="s">
        <v>51</v>
      </c>
      <c r="E11" s="12" t="s">
        <v>68</v>
      </c>
      <c r="F11" s="10"/>
      <c r="G11" s="9" t="s">
        <v>57</v>
      </c>
      <c r="H11" s="10"/>
      <c r="I11" s="4" t="s">
        <v>69</v>
      </c>
    </row>
    <row r="12" customFormat="false" ht="31.5" hidden="false" customHeight="true" outlineLevel="0" collapsed="false">
      <c r="A12" s="7" t="n">
        <v>11</v>
      </c>
      <c r="B12" s="8" t="s">
        <v>40</v>
      </c>
      <c r="C12" s="4" t="s">
        <v>70</v>
      </c>
      <c r="D12" s="9" t="s">
        <v>42</v>
      </c>
      <c r="E12" s="10" t="s">
        <v>71</v>
      </c>
      <c r="F12" s="9" t="s">
        <v>43</v>
      </c>
      <c r="G12" s="10"/>
      <c r="H12" s="10"/>
      <c r="I12" s="4" t="s">
        <v>72</v>
      </c>
    </row>
    <row r="13" customFormat="false" ht="31.5" hidden="false" customHeight="true" outlineLevel="0" collapsed="false">
      <c r="A13" s="7" t="n">
        <v>12</v>
      </c>
      <c r="B13" s="8" t="s">
        <v>40</v>
      </c>
      <c r="C13" s="4" t="s">
        <v>73</v>
      </c>
      <c r="D13" s="11" t="s">
        <v>51</v>
      </c>
      <c r="E13" s="9" t="s">
        <v>42</v>
      </c>
      <c r="F13" s="9" t="s">
        <v>43</v>
      </c>
      <c r="G13" s="10"/>
      <c r="H13" s="10"/>
      <c r="I13" s="4" t="s">
        <v>74</v>
      </c>
    </row>
    <row r="14" customFormat="false" ht="31.5" hidden="false" customHeight="true" outlineLevel="0" collapsed="false">
      <c r="A14" s="7" t="n">
        <v>13</v>
      </c>
      <c r="B14" s="8" t="s">
        <v>40</v>
      </c>
      <c r="C14" s="4" t="s">
        <v>75</v>
      </c>
      <c r="D14" s="11" t="s">
        <v>51</v>
      </c>
      <c r="E14" s="12" t="s">
        <v>56</v>
      </c>
      <c r="F14" s="9" t="s">
        <v>43</v>
      </c>
      <c r="G14" s="10"/>
      <c r="H14" s="10"/>
      <c r="I14" s="4" t="s">
        <v>76</v>
      </c>
    </row>
    <row r="15" customFormat="false" ht="31.5" hidden="false" customHeight="true" outlineLevel="0" collapsed="false">
      <c r="A15" s="7" t="n">
        <v>14</v>
      </c>
      <c r="B15" s="8" t="s">
        <v>77</v>
      </c>
      <c r="C15" s="4" t="s">
        <v>78</v>
      </c>
      <c r="D15" s="10" t="s">
        <v>79</v>
      </c>
      <c r="E15" s="10" t="s">
        <v>80</v>
      </c>
      <c r="F15" s="10" t="s">
        <v>81</v>
      </c>
      <c r="G15" s="10"/>
      <c r="H15" s="10"/>
      <c r="I15" s="4" t="s">
        <v>82</v>
      </c>
    </row>
    <row r="16" customFormat="false" ht="31.5" hidden="false" customHeight="true" outlineLevel="0" collapsed="false">
      <c r="A16" s="7" t="n">
        <v>15</v>
      </c>
      <c r="B16" s="8" t="s">
        <v>77</v>
      </c>
      <c r="C16" s="4" t="s">
        <v>83</v>
      </c>
      <c r="D16" s="10" t="s">
        <v>84</v>
      </c>
      <c r="E16" s="10" t="s">
        <v>85</v>
      </c>
      <c r="F16" s="9" t="s">
        <v>43</v>
      </c>
      <c r="G16" s="10"/>
      <c r="H16" s="10"/>
      <c r="I16" s="4" t="s">
        <v>86</v>
      </c>
    </row>
    <row r="17" customFormat="false" ht="31.5" hidden="false" customHeight="true" outlineLevel="0" collapsed="false">
      <c r="A17" s="7" t="n">
        <v>16</v>
      </c>
      <c r="B17" s="8" t="s">
        <v>77</v>
      </c>
      <c r="C17" s="4" t="s">
        <v>87</v>
      </c>
      <c r="D17" s="11" t="s">
        <v>51</v>
      </c>
      <c r="E17" s="11" t="s">
        <v>51</v>
      </c>
      <c r="F17" s="10"/>
      <c r="G17" s="9" t="s">
        <v>57</v>
      </c>
      <c r="H17" s="10"/>
      <c r="I17" s="4" t="s">
        <v>88</v>
      </c>
    </row>
    <row r="18" customFormat="false" ht="31.5" hidden="false" customHeight="true" outlineLevel="0" collapsed="false">
      <c r="A18" s="7" t="n">
        <v>17</v>
      </c>
      <c r="B18" s="8" t="s">
        <v>77</v>
      </c>
      <c r="C18" s="4" t="s">
        <v>89</v>
      </c>
      <c r="D18" s="10" t="s">
        <v>90</v>
      </c>
      <c r="E18" s="11" t="s">
        <v>51</v>
      </c>
      <c r="F18" s="9" t="s">
        <v>43</v>
      </c>
      <c r="G18" s="10"/>
      <c r="H18" s="10"/>
      <c r="I18" s="4" t="s">
        <v>91</v>
      </c>
    </row>
    <row r="19" customFormat="false" ht="31.5" hidden="false" customHeight="true" outlineLevel="0" collapsed="false">
      <c r="A19" s="7" t="n">
        <v>18</v>
      </c>
      <c r="B19" s="8" t="s">
        <v>77</v>
      </c>
      <c r="C19" s="4" t="s">
        <v>92</v>
      </c>
      <c r="D19" s="9" t="s">
        <v>42</v>
      </c>
      <c r="E19" s="11" t="s">
        <v>51</v>
      </c>
      <c r="F19" s="9" t="s">
        <v>43</v>
      </c>
      <c r="G19" s="10"/>
      <c r="H19" s="10"/>
      <c r="I19" s="4" t="s">
        <v>93</v>
      </c>
    </row>
    <row r="20" customFormat="false" ht="31.5" hidden="false" customHeight="true" outlineLevel="0" collapsed="false">
      <c r="A20" s="7" t="n">
        <v>19</v>
      </c>
      <c r="B20" s="8" t="s">
        <v>77</v>
      </c>
      <c r="C20" s="4" t="s">
        <v>94</v>
      </c>
      <c r="D20" s="10" t="s">
        <v>95</v>
      </c>
      <c r="E20" s="9" t="s">
        <v>42</v>
      </c>
      <c r="F20" s="9" t="s">
        <v>43</v>
      </c>
      <c r="G20" s="10"/>
      <c r="H20" s="10"/>
      <c r="I20" s="4" t="s">
        <v>96</v>
      </c>
    </row>
    <row r="21" customFormat="false" ht="31.5" hidden="false" customHeight="true" outlineLevel="0" collapsed="false">
      <c r="A21" s="7" t="n">
        <v>20</v>
      </c>
      <c r="B21" s="8" t="s">
        <v>77</v>
      </c>
      <c r="C21" s="4" t="s">
        <v>97</v>
      </c>
      <c r="D21" s="10" t="s">
        <v>98</v>
      </c>
      <c r="E21" s="11" t="s">
        <v>51</v>
      </c>
      <c r="F21" s="9" t="s">
        <v>43</v>
      </c>
      <c r="G21" s="10"/>
      <c r="H21" s="10"/>
      <c r="I21" s="4" t="s">
        <v>99</v>
      </c>
    </row>
    <row r="22" customFormat="false" ht="31.5" hidden="false" customHeight="true" outlineLevel="0" collapsed="false">
      <c r="A22" s="7" t="n">
        <v>21</v>
      </c>
      <c r="B22" s="8" t="s">
        <v>100</v>
      </c>
      <c r="C22" s="4" t="s">
        <v>101</v>
      </c>
      <c r="D22" s="11" t="s">
        <v>51</v>
      </c>
      <c r="E22" s="9" t="s">
        <v>42</v>
      </c>
      <c r="F22" s="9" t="s">
        <v>43</v>
      </c>
      <c r="G22" s="10"/>
      <c r="H22" s="10"/>
      <c r="I22" s="4" t="s">
        <v>102</v>
      </c>
    </row>
    <row r="23" customFormat="false" ht="31.5" hidden="false" customHeight="true" outlineLevel="0" collapsed="false">
      <c r="A23" s="7" t="n">
        <v>22</v>
      </c>
      <c r="B23" s="8" t="s">
        <v>100</v>
      </c>
      <c r="C23" s="4" t="s">
        <v>103</v>
      </c>
      <c r="D23" s="12" t="s">
        <v>68</v>
      </c>
      <c r="E23" s="10" t="s">
        <v>104</v>
      </c>
      <c r="F23" s="9" t="s">
        <v>43</v>
      </c>
      <c r="G23" s="10"/>
      <c r="H23" s="10"/>
      <c r="I23" s="4" t="s">
        <v>105</v>
      </c>
    </row>
    <row r="24" customFormat="false" ht="31.5" hidden="false" customHeight="true" outlineLevel="0" collapsed="false">
      <c r="A24" s="7" t="n">
        <v>23</v>
      </c>
      <c r="B24" s="8" t="s">
        <v>100</v>
      </c>
      <c r="C24" s="4" t="s">
        <v>106</v>
      </c>
      <c r="D24" s="10" t="s">
        <v>107</v>
      </c>
      <c r="E24" s="9" t="s">
        <v>42</v>
      </c>
      <c r="F24" s="9" t="s">
        <v>43</v>
      </c>
      <c r="G24" s="10"/>
      <c r="H24" s="10"/>
      <c r="I24" s="4" t="s">
        <v>108</v>
      </c>
    </row>
    <row r="25" customFormat="false" ht="31.5" hidden="false" customHeight="true" outlineLevel="0" collapsed="false">
      <c r="A25" s="7" t="n">
        <v>24</v>
      </c>
      <c r="B25" s="8" t="s">
        <v>100</v>
      </c>
      <c r="C25" s="4" t="s">
        <v>109</v>
      </c>
      <c r="D25" s="10" t="s">
        <v>110</v>
      </c>
      <c r="E25" s="9" t="s">
        <v>42</v>
      </c>
      <c r="F25" s="9" t="s">
        <v>43</v>
      </c>
      <c r="G25" s="10"/>
      <c r="H25" s="10"/>
      <c r="I25" s="4" t="s">
        <v>111</v>
      </c>
    </row>
    <row r="26" customFormat="false" ht="31.5" hidden="false" customHeight="true" outlineLevel="0" collapsed="false">
      <c r="A26" s="7" t="n">
        <v>25</v>
      </c>
      <c r="B26" s="8" t="s">
        <v>100</v>
      </c>
      <c r="C26" s="4" t="s">
        <v>112</v>
      </c>
      <c r="D26" s="10" t="s">
        <v>95</v>
      </c>
      <c r="E26" s="12" t="s">
        <v>113</v>
      </c>
      <c r="F26" s="9" t="s">
        <v>43</v>
      </c>
      <c r="G26" s="10"/>
      <c r="H26" s="10"/>
      <c r="I26" s="4" t="s">
        <v>114</v>
      </c>
    </row>
    <row r="27" customFormat="false" ht="31.5" hidden="false" customHeight="true" outlineLevel="0" collapsed="false">
      <c r="A27" s="7" t="n">
        <v>26</v>
      </c>
      <c r="B27" s="8" t="s">
        <v>100</v>
      </c>
      <c r="C27" s="4" t="s">
        <v>115</v>
      </c>
      <c r="D27" s="10" t="s">
        <v>116</v>
      </c>
      <c r="E27" s="10" t="s">
        <v>117</v>
      </c>
      <c r="F27" s="9" t="s">
        <v>43</v>
      </c>
      <c r="G27" s="10"/>
      <c r="H27" s="10"/>
      <c r="I27" s="4" t="s">
        <v>118</v>
      </c>
    </row>
    <row r="28" customFormat="false" ht="31.5" hidden="false" customHeight="true" outlineLevel="0" collapsed="false">
      <c r="A28" s="7" t="n">
        <v>27</v>
      </c>
      <c r="B28" s="8" t="s">
        <v>100</v>
      </c>
      <c r="C28" s="4" t="s">
        <v>119</v>
      </c>
      <c r="D28" s="10" t="s">
        <v>120</v>
      </c>
      <c r="E28" s="10" t="s">
        <v>121</v>
      </c>
      <c r="F28" s="10"/>
      <c r="G28" s="9" t="s">
        <v>57</v>
      </c>
      <c r="H28" s="10"/>
      <c r="I28" s="4" t="s">
        <v>122</v>
      </c>
    </row>
    <row r="29" customFormat="false" ht="31.5" hidden="false" customHeight="true" outlineLevel="0" collapsed="false">
      <c r="A29" s="7" t="n">
        <v>28</v>
      </c>
      <c r="B29" s="8" t="s">
        <v>100</v>
      </c>
      <c r="C29" s="4" t="s">
        <v>123</v>
      </c>
      <c r="D29" s="9" t="s">
        <v>42</v>
      </c>
      <c r="E29" s="10" t="s">
        <v>124</v>
      </c>
      <c r="F29" s="9" t="s">
        <v>43</v>
      </c>
      <c r="G29" s="10"/>
      <c r="H29" s="10"/>
      <c r="I29" s="4" t="s">
        <v>125</v>
      </c>
    </row>
    <row r="30" customFormat="false" ht="31.5" hidden="false" customHeight="true" outlineLevel="0" collapsed="false">
      <c r="A30" s="7" t="n">
        <v>29</v>
      </c>
      <c r="B30" s="8" t="s">
        <v>100</v>
      </c>
      <c r="C30" s="4" t="s">
        <v>126</v>
      </c>
      <c r="D30" s="9" t="s">
        <v>42</v>
      </c>
      <c r="E30" s="9" t="s">
        <v>42</v>
      </c>
      <c r="F30" s="9" t="s">
        <v>43</v>
      </c>
      <c r="G30" s="10"/>
      <c r="H30" s="10"/>
      <c r="I30" s="4" t="s">
        <v>127</v>
      </c>
    </row>
    <row r="31" customFormat="false" ht="31.5" hidden="false" customHeight="true" outlineLevel="0" collapsed="false">
      <c r="A31" s="7" t="n">
        <v>30</v>
      </c>
      <c r="B31" s="8" t="s">
        <v>100</v>
      </c>
      <c r="C31" s="4" t="s">
        <v>128</v>
      </c>
      <c r="D31" s="10" t="s">
        <v>95</v>
      </c>
      <c r="E31" s="11" t="s">
        <v>51</v>
      </c>
      <c r="F31" s="9" t="s">
        <v>43</v>
      </c>
      <c r="G31" s="10"/>
      <c r="H31" s="10"/>
      <c r="I31" s="4" t="s">
        <v>129</v>
      </c>
    </row>
    <row r="32" customFormat="false" ht="31.5" hidden="false" customHeight="true" outlineLevel="0" collapsed="false">
      <c r="A32" s="7" t="n">
        <v>31</v>
      </c>
      <c r="B32" s="8" t="s">
        <v>130</v>
      </c>
      <c r="C32" s="4" t="s">
        <v>131</v>
      </c>
      <c r="D32" s="10" t="s">
        <v>95</v>
      </c>
      <c r="E32" s="9" t="s">
        <v>42</v>
      </c>
      <c r="F32" s="9" t="s">
        <v>43</v>
      </c>
      <c r="G32" s="10"/>
      <c r="H32" s="10"/>
      <c r="I32" s="4" t="s">
        <v>132</v>
      </c>
    </row>
    <row r="33" customFormat="false" ht="31.5" hidden="false" customHeight="true" outlineLevel="0" collapsed="false">
      <c r="A33" s="7" t="n">
        <v>32</v>
      </c>
      <c r="B33" s="8" t="s">
        <v>130</v>
      </c>
      <c r="C33" s="4" t="s">
        <v>133</v>
      </c>
      <c r="D33" s="11" t="s">
        <v>51</v>
      </c>
      <c r="E33" s="12" t="s">
        <v>56</v>
      </c>
      <c r="F33" s="9" t="s">
        <v>43</v>
      </c>
      <c r="G33" s="10"/>
      <c r="H33" s="10"/>
      <c r="I33" s="4" t="s">
        <v>134</v>
      </c>
    </row>
    <row r="34" customFormat="false" ht="31.5" hidden="false" customHeight="true" outlineLevel="0" collapsed="false">
      <c r="A34" s="7" t="n">
        <v>33</v>
      </c>
      <c r="B34" s="8" t="s">
        <v>130</v>
      </c>
      <c r="C34" s="4" t="s">
        <v>135</v>
      </c>
      <c r="D34" s="11" t="s">
        <v>51</v>
      </c>
      <c r="E34" s="9" t="s">
        <v>42</v>
      </c>
      <c r="F34" s="9" t="s">
        <v>43</v>
      </c>
      <c r="G34" s="10"/>
      <c r="H34" s="10"/>
      <c r="I34" s="4" t="s">
        <v>136</v>
      </c>
    </row>
    <row r="35" customFormat="false" ht="31.5" hidden="false" customHeight="true" outlineLevel="0" collapsed="false">
      <c r="A35" s="7" t="n">
        <v>34</v>
      </c>
      <c r="B35" s="8" t="s">
        <v>130</v>
      </c>
      <c r="C35" s="4" t="s">
        <v>137</v>
      </c>
      <c r="D35" s="10" t="s">
        <v>95</v>
      </c>
      <c r="E35" s="9" t="s">
        <v>42</v>
      </c>
      <c r="F35" s="9" t="s">
        <v>43</v>
      </c>
      <c r="G35" s="10"/>
      <c r="H35" s="10"/>
      <c r="I35" s="4" t="s">
        <v>138</v>
      </c>
    </row>
    <row r="36" customFormat="false" ht="31.5" hidden="false" customHeight="true" outlineLevel="0" collapsed="false">
      <c r="A36" s="7" t="n">
        <v>35</v>
      </c>
      <c r="B36" s="8" t="s">
        <v>130</v>
      </c>
      <c r="C36" s="4" t="s">
        <v>139</v>
      </c>
      <c r="D36" s="11" t="s">
        <v>51</v>
      </c>
      <c r="E36" s="11" t="s">
        <v>51</v>
      </c>
      <c r="F36" s="10"/>
      <c r="G36" s="9" t="s">
        <v>57</v>
      </c>
      <c r="H36" s="10"/>
      <c r="I36" s="4" t="s">
        <v>140</v>
      </c>
    </row>
    <row r="37" customFormat="false" ht="31.5" hidden="false" customHeight="true" outlineLevel="0" collapsed="false">
      <c r="A37" s="7" t="n">
        <v>36</v>
      </c>
      <c r="B37" s="8" t="s">
        <v>130</v>
      </c>
      <c r="C37" s="4" t="s">
        <v>141</v>
      </c>
      <c r="D37" s="9" t="s">
        <v>42</v>
      </c>
      <c r="E37" s="10" t="s">
        <v>142</v>
      </c>
      <c r="F37" s="9" t="s">
        <v>43</v>
      </c>
      <c r="G37" s="10"/>
      <c r="H37" s="10"/>
      <c r="I37" s="4" t="s">
        <v>143</v>
      </c>
    </row>
    <row r="38" customFormat="false" ht="31.5" hidden="false" customHeight="true" outlineLevel="0" collapsed="false">
      <c r="A38" s="7" t="n">
        <v>37</v>
      </c>
      <c r="B38" s="8" t="s">
        <v>130</v>
      </c>
      <c r="C38" s="4" t="s">
        <v>144</v>
      </c>
      <c r="D38" s="9" t="s">
        <v>42</v>
      </c>
      <c r="E38" s="9" t="s">
        <v>42</v>
      </c>
      <c r="F38" s="9" t="s">
        <v>43</v>
      </c>
      <c r="G38" s="10"/>
      <c r="H38" s="10"/>
      <c r="I38" s="4" t="s">
        <v>145</v>
      </c>
    </row>
    <row r="39" customFormat="false" ht="31.5" hidden="false" customHeight="true" outlineLevel="0" collapsed="false">
      <c r="A39" s="7" t="n">
        <v>38</v>
      </c>
      <c r="B39" s="8" t="s">
        <v>130</v>
      </c>
      <c r="C39" s="4" t="s">
        <v>146</v>
      </c>
      <c r="D39" s="11" t="s">
        <v>51</v>
      </c>
      <c r="E39" s="12" t="s">
        <v>56</v>
      </c>
      <c r="F39" s="10"/>
      <c r="G39" s="9" t="s">
        <v>57</v>
      </c>
      <c r="H39" s="10"/>
      <c r="I39" s="4" t="s">
        <v>147</v>
      </c>
    </row>
    <row r="40" customFormat="false" ht="31.5" hidden="false" customHeight="true" outlineLevel="0" collapsed="false">
      <c r="A40" s="7" t="n">
        <v>39</v>
      </c>
      <c r="B40" s="8" t="s">
        <v>148</v>
      </c>
      <c r="C40" s="4" t="s">
        <v>149</v>
      </c>
      <c r="D40" s="10" t="s">
        <v>95</v>
      </c>
      <c r="E40" s="10" t="s">
        <v>150</v>
      </c>
      <c r="F40" s="10"/>
      <c r="G40" s="9" t="s">
        <v>57</v>
      </c>
      <c r="H40" s="10"/>
      <c r="I40" s="4" t="s">
        <v>151</v>
      </c>
    </row>
    <row r="41" customFormat="false" ht="31.5" hidden="false" customHeight="true" outlineLevel="0" collapsed="false">
      <c r="A41" s="7" t="n">
        <v>40</v>
      </c>
      <c r="B41" s="8" t="s">
        <v>148</v>
      </c>
      <c r="C41" s="4" t="s">
        <v>152</v>
      </c>
      <c r="D41" s="11" t="s">
        <v>51</v>
      </c>
      <c r="E41" s="9" t="s">
        <v>42</v>
      </c>
      <c r="F41" s="10"/>
      <c r="G41" s="9" t="s">
        <v>57</v>
      </c>
      <c r="H41" s="10"/>
      <c r="I41" s="4" t="s">
        <v>153</v>
      </c>
    </row>
    <row r="42" customFormat="false" ht="31.5" hidden="false" customHeight="true" outlineLevel="0" collapsed="false">
      <c r="A42" s="7" t="n">
        <v>41</v>
      </c>
      <c r="B42" s="8" t="s">
        <v>148</v>
      </c>
      <c r="C42" s="4" t="s">
        <v>154</v>
      </c>
      <c r="D42" s="10" t="s">
        <v>95</v>
      </c>
      <c r="E42" s="10" t="s">
        <v>155</v>
      </c>
      <c r="F42" s="10"/>
      <c r="G42" s="9" t="s">
        <v>57</v>
      </c>
      <c r="H42" s="10"/>
      <c r="I42" s="4" t="s">
        <v>156</v>
      </c>
    </row>
    <row r="43" customFormat="false" ht="31.5" hidden="false" customHeight="true" outlineLevel="0" collapsed="false">
      <c r="A43" s="7" t="n">
        <v>42</v>
      </c>
      <c r="B43" s="8" t="s">
        <v>148</v>
      </c>
      <c r="C43" s="4" t="s">
        <v>157</v>
      </c>
      <c r="D43" s="10" t="s">
        <v>158</v>
      </c>
      <c r="E43" s="9" t="s">
        <v>42</v>
      </c>
      <c r="F43" s="10"/>
      <c r="G43" s="9" t="s">
        <v>57</v>
      </c>
      <c r="H43" s="10"/>
      <c r="I43" s="4" t="s">
        <v>159</v>
      </c>
    </row>
    <row r="44" customFormat="false" ht="31.5" hidden="false" customHeight="true" outlineLevel="0" collapsed="false">
      <c r="A44" s="7" t="n">
        <v>43</v>
      </c>
      <c r="B44" s="8" t="s">
        <v>148</v>
      </c>
      <c r="C44" s="4" t="s">
        <v>160</v>
      </c>
      <c r="D44" s="11" t="s">
        <v>51</v>
      </c>
      <c r="E44" s="9" t="s">
        <v>42</v>
      </c>
      <c r="F44" s="10"/>
      <c r="G44" s="9" t="s">
        <v>57</v>
      </c>
      <c r="H44" s="10"/>
      <c r="I44" s="4" t="s">
        <v>161</v>
      </c>
    </row>
    <row r="45" customFormat="false" ht="31.5" hidden="false" customHeight="true" outlineLevel="0" collapsed="false">
      <c r="A45" s="7" t="n">
        <v>44</v>
      </c>
      <c r="B45" s="8" t="s">
        <v>148</v>
      </c>
      <c r="C45" s="4" t="s">
        <v>162</v>
      </c>
      <c r="D45" s="11" t="s">
        <v>51</v>
      </c>
      <c r="E45" s="9" t="s">
        <v>42</v>
      </c>
      <c r="F45" s="10"/>
      <c r="G45" s="9" t="s">
        <v>57</v>
      </c>
      <c r="H45" s="10"/>
      <c r="I45" s="4" t="s">
        <v>163</v>
      </c>
    </row>
    <row r="46" customFormat="false" ht="31.5" hidden="false" customHeight="true" outlineLevel="0" collapsed="false">
      <c r="A46" s="7" t="n">
        <v>45</v>
      </c>
      <c r="B46" s="8" t="s">
        <v>148</v>
      </c>
      <c r="C46" s="4" t="s">
        <v>164</v>
      </c>
      <c r="D46" s="11" t="s">
        <v>51</v>
      </c>
      <c r="E46" s="9" t="s">
        <v>42</v>
      </c>
      <c r="F46" s="10"/>
      <c r="G46" s="10"/>
      <c r="H46" s="10" t="s">
        <v>65</v>
      </c>
      <c r="I46" s="4" t="s">
        <v>165</v>
      </c>
    </row>
    <row r="47" customFormat="false" ht="31.5" hidden="false" customHeight="true" outlineLevel="0" collapsed="false">
      <c r="A47" s="7" t="n">
        <v>46</v>
      </c>
      <c r="B47" s="8" t="s">
        <v>148</v>
      </c>
      <c r="C47" s="4" t="s">
        <v>166</v>
      </c>
      <c r="D47" s="11" t="s">
        <v>51</v>
      </c>
      <c r="E47" s="9" t="s">
        <v>42</v>
      </c>
      <c r="F47" s="10"/>
      <c r="G47" s="9" t="s">
        <v>57</v>
      </c>
      <c r="H47" s="10"/>
      <c r="I47" s="4" t="s">
        <v>167</v>
      </c>
    </row>
    <row r="48" customFormat="false" ht="31.5" hidden="false" customHeight="true" outlineLevel="0" collapsed="false">
      <c r="A48" s="7" t="n">
        <v>47</v>
      </c>
      <c r="B48" s="8" t="s">
        <v>148</v>
      </c>
      <c r="C48" s="4" t="s">
        <v>168</v>
      </c>
      <c r="D48" s="11" t="s">
        <v>51</v>
      </c>
      <c r="E48" s="10" t="s">
        <v>169</v>
      </c>
      <c r="F48" s="10"/>
      <c r="G48" s="10"/>
      <c r="H48" s="10" t="s">
        <v>65</v>
      </c>
      <c r="I48" s="4" t="s">
        <v>170</v>
      </c>
    </row>
    <row r="49" customFormat="false" ht="31.5" hidden="false" customHeight="true" outlineLevel="0" collapsed="false">
      <c r="A49" s="7" t="n">
        <v>48</v>
      </c>
      <c r="B49" s="8" t="s">
        <v>171</v>
      </c>
      <c r="C49" s="4" t="s">
        <v>172</v>
      </c>
      <c r="D49" s="11" t="s">
        <v>51</v>
      </c>
      <c r="E49" s="12" t="s">
        <v>113</v>
      </c>
      <c r="F49" s="10"/>
      <c r="G49" s="10"/>
      <c r="H49" s="10" t="s">
        <v>65</v>
      </c>
      <c r="I49" s="4" t="s">
        <v>173</v>
      </c>
    </row>
    <row r="50" customFormat="false" ht="31.5" hidden="false" customHeight="true" outlineLevel="0" collapsed="false">
      <c r="A50" s="7" t="n">
        <v>49</v>
      </c>
      <c r="B50" s="8" t="s">
        <v>171</v>
      </c>
      <c r="C50" s="4" t="s">
        <v>174</v>
      </c>
      <c r="D50" s="11" t="s">
        <v>51</v>
      </c>
      <c r="E50" s="12" t="s">
        <v>113</v>
      </c>
      <c r="F50" s="10"/>
      <c r="G50" s="10"/>
      <c r="H50" s="10" t="s">
        <v>65</v>
      </c>
      <c r="I50" s="4" t="s">
        <v>175</v>
      </c>
    </row>
    <row r="51" customFormat="false" ht="31.5" hidden="false" customHeight="true" outlineLevel="0" collapsed="false">
      <c r="A51" s="7" t="n">
        <v>50</v>
      </c>
      <c r="B51" s="8" t="s">
        <v>171</v>
      </c>
      <c r="C51" s="4" t="s">
        <v>176</v>
      </c>
      <c r="D51" s="11" t="s">
        <v>51</v>
      </c>
      <c r="E51" s="10" t="s">
        <v>177</v>
      </c>
      <c r="F51" s="10"/>
      <c r="G51" s="10"/>
      <c r="H51" s="10" t="s">
        <v>65</v>
      </c>
      <c r="I51" s="4" t="s">
        <v>178</v>
      </c>
    </row>
    <row r="52" customFormat="false" ht="31.5" hidden="false" customHeight="true" outlineLevel="0" collapsed="false">
      <c r="A52" s="7" t="n">
        <v>51</v>
      </c>
      <c r="B52" s="8" t="s">
        <v>179</v>
      </c>
      <c r="C52" s="4" t="s">
        <v>180</v>
      </c>
      <c r="D52" s="10" t="s">
        <v>181</v>
      </c>
      <c r="E52" s="10" t="s">
        <v>182</v>
      </c>
      <c r="F52" s="9" t="s">
        <v>43</v>
      </c>
      <c r="G52" s="10"/>
      <c r="H52" s="10"/>
      <c r="I52" s="4" t="s">
        <v>183</v>
      </c>
    </row>
    <row r="53" customFormat="false" ht="31.5" hidden="false" customHeight="true" outlineLevel="0" collapsed="false">
      <c r="A53" s="7" t="n">
        <v>52</v>
      </c>
      <c r="B53" s="8" t="s">
        <v>179</v>
      </c>
      <c r="C53" s="4" t="s">
        <v>184</v>
      </c>
      <c r="D53" s="10" t="s">
        <v>185</v>
      </c>
      <c r="E53" s="10" t="s">
        <v>185</v>
      </c>
      <c r="F53" s="9" t="s">
        <v>43</v>
      </c>
      <c r="G53" s="10"/>
      <c r="H53" s="10"/>
      <c r="I53" s="4" t="s">
        <v>186</v>
      </c>
    </row>
    <row r="54" customFormat="false" ht="31.5" hidden="false" customHeight="true" outlineLevel="0" collapsed="false">
      <c r="A54" s="7" t="n">
        <v>53</v>
      </c>
      <c r="B54" s="8" t="s">
        <v>179</v>
      </c>
      <c r="C54" s="4" t="s">
        <v>187</v>
      </c>
      <c r="D54" s="10" t="s">
        <v>188</v>
      </c>
      <c r="E54" s="10" t="s">
        <v>189</v>
      </c>
      <c r="F54" s="9" t="s">
        <v>43</v>
      </c>
      <c r="G54" s="10"/>
      <c r="H54" s="10"/>
      <c r="I54" s="4" t="s">
        <v>190</v>
      </c>
    </row>
    <row r="55" customFormat="false" ht="31.5" hidden="false" customHeight="true" outlineLevel="0" collapsed="false">
      <c r="A55" s="7" t="n">
        <v>54</v>
      </c>
      <c r="B55" s="8" t="s">
        <v>179</v>
      </c>
      <c r="C55" s="4" t="s">
        <v>191</v>
      </c>
      <c r="D55" s="10" t="s">
        <v>192</v>
      </c>
      <c r="E55" s="10" t="s">
        <v>188</v>
      </c>
      <c r="F55" s="10"/>
      <c r="G55" s="9" t="s">
        <v>57</v>
      </c>
      <c r="H55" s="10"/>
      <c r="I55" s="4" t="s">
        <v>193</v>
      </c>
    </row>
    <row r="56" customFormat="false" ht="31.5" hidden="false" customHeight="true" outlineLevel="0" collapsed="false">
      <c r="A56" s="7" t="n">
        <v>55</v>
      </c>
      <c r="B56" s="8" t="s">
        <v>179</v>
      </c>
      <c r="C56" s="4" t="s">
        <v>194</v>
      </c>
      <c r="D56" s="9" t="s">
        <v>42</v>
      </c>
      <c r="E56" s="9" t="s">
        <v>42</v>
      </c>
      <c r="F56" s="9" t="s">
        <v>43</v>
      </c>
      <c r="G56" s="10"/>
      <c r="H56" s="10"/>
      <c r="I56" s="4" t="s">
        <v>132</v>
      </c>
    </row>
    <row r="57" customFormat="false" ht="31.5" hidden="false" customHeight="true" outlineLevel="0" collapsed="false">
      <c r="A57" s="7" t="n">
        <v>56</v>
      </c>
      <c r="B57" s="8" t="s">
        <v>179</v>
      </c>
      <c r="C57" s="4" t="s">
        <v>195</v>
      </c>
      <c r="D57" s="11" t="s">
        <v>51</v>
      </c>
      <c r="E57" s="9" t="s">
        <v>42</v>
      </c>
      <c r="F57" s="10"/>
      <c r="G57" s="9" t="s">
        <v>57</v>
      </c>
      <c r="H57" s="10"/>
      <c r="I57" s="4" t="s">
        <v>196</v>
      </c>
    </row>
    <row r="58" customFormat="false" ht="31.5" hidden="false" customHeight="true" outlineLevel="0" collapsed="false">
      <c r="A58" s="7" t="n">
        <v>57</v>
      </c>
      <c r="B58" s="8" t="s">
        <v>179</v>
      </c>
      <c r="C58" s="4" t="s">
        <v>197</v>
      </c>
      <c r="D58" s="11" t="s">
        <v>51</v>
      </c>
      <c r="E58" s="11" t="s">
        <v>51</v>
      </c>
      <c r="F58" s="10"/>
      <c r="G58" s="9" t="s">
        <v>57</v>
      </c>
      <c r="H58" s="10"/>
      <c r="I58" s="4" t="s">
        <v>198</v>
      </c>
    </row>
    <row r="59" customFormat="false" ht="31.5" hidden="false" customHeight="true" outlineLevel="0" collapsed="false">
      <c r="A59" s="7" t="n">
        <v>58</v>
      </c>
      <c r="B59" s="8" t="s">
        <v>179</v>
      </c>
      <c r="C59" s="4" t="s">
        <v>199</v>
      </c>
      <c r="D59" s="10" t="s">
        <v>200</v>
      </c>
      <c r="E59" s="9" t="s">
        <v>42</v>
      </c>
      <c r="F59" s="9" t="s">
        <v>43</v>
      </c>
      <c r="G59" s="10"/>
      <c r="H59" s="10"/>
      <c r="I59" s="4" t="s">
        <v>201</v>
      </c>
    </row>
    <row r="60" customFormat="false" ht="31.5" hidden="false" customHeight="true" outlineLevel="0" collapsed="false">
      <c r="A60" s="7" t="n">
        <v>59</v>
      </c>
      <c r="B60" s="8" t="s">
        <v>179</v>
      </c>
      <c r="C60" s="4" t="s">
        <v>202</v>
      </c>
      <c r="D60" s="11" t="s">
        <v>51</v>
      </c>
      <c r="E60" s="9" t="s">
        <v>42</v>
      </c>
      <c r="F60" s="10"/>
      <c r="G60" s="9" t="s">
        <v>57</v>
      </c>
      <c r="H60" s="10"/>
      <c r="I60" s="4" t="s">
        <v>203</v>
      </c>
    </row>
    <row r="61" customFormat="false" ht="31.5" hidden="false" customHeight="true" outlineLevel="0" collapsed="false">
      <c r="A61" s="7" t="n">
        <v>60</v>
      </c>
      <c r="B61" s="8" t="s">
        <v>204</v>
      </c>
      <c r="C61" s="4" t="s">
        <v>205</v>
      </c>
      <c r="D61" s="10" t="s">
        <v>206</v>
      </c>
      <c r="E61" s="10" t="s">
        <v>207</v>
      </c>
      <c r="F61" s="9" t="s">
        <v>43</v>
      </c>
      <c r="G61" s="10"/>
      <c r="H61" s="10"/>
      <c r="I61" s="4" t="s">
        <v>208</v>
      </c>
    </row>
    <row r="62" customFormat="false" ht="31.5" hidden="false" customHeight="true" outlineLevel="0" collapsed="false">
      <c r="A62" s="7" t="n">
        <v>61</v>
      </c>
      <c r="B62" s="8" t="s">
        <v>204</v>
      </c>
      <c r="C62" s="4" t="s">
        <v>209</v>
      </c>
      <c r="D62" s="9" t="s">
        <v>42</v>
      </c>
      <c r="E62" s="10" t="s">
        <v>200</v>
      </c>
      <c r="F62" s="9" t="s">
        <v>43</v>
      </c>
      <c r="G62" s="10"/>
      <c r="H62" s="10"/>
      <c r="I62" s="4" t="s">
        <v>210</v>
      </c>
    </row>
    <row r="63" customFormat="false" ht="31.5" hidden="false" customHeight="true" outlineLevel="0" collapsed="false">
      <c r="A63" s="7" t="n">
        <v>62</v>
      </c>
      <c r="B63" s="8" t="s">
        <v>204</v>
      </c>
      <c r="C63" s="4" t="s">
        <v>211</v>
      </c>
      <c r="D63" s="9" t="s">
        <v>42</v>
      </c>
      <c r="E63" s="12" t="s">
        <v>68</v>
      </c>
      <c r="F63" s="9" t="s">
        <v>43</v>
      </c>
      <c r="G63" s="10"/>
      <c r="H63" s="10"/>
      <c r="I63" s="4" t="s">
        <v>212</v>
      </c>
    </row>
    <row r="64" customFormat="false" ht="31.5" hidden="false" customHeight="true" outlineLevel="0" collapsed="false">
      <c r="A64" s="7" t="n">
        <v>63</v>
      </c>
      <c r="B64" s="8" t="s">
        <v>204</v>
      </c>
      <c r="C64" s="4" t="s">
        <v>213</v>
      </c>
      <c r="D64" s="11" t="s">
        <v>51</v>
      </c>
      <c r="E64" s="11" t="s">
        <v>51</v>
      </c>
      <c r="F64" s="9" t="s">
        <v>43</v>
      </c>
      <c r="G64" s="10"/>
      <c r="H64" s="10"/>
      <c r="I64" s="4" t="s">
        <v>214</v>
      </c>
    </row>
    <row r="65" customFormat="false" ht="31.5" hidden="false" customHeight="true" outlineLevel="0" collapsed="false">
      <c r="A65" s="7" t="n">
        <v>64</v>
      </c>
      <c r="B65" s="8" t="s">
        <v>204</v>
      </c>
      <c r="C65" s="4" t="s">
        <v>215</v>
      </c>
      <c r="D65" s="9" t="s">
        <v>42</v>
      </c>
      <c r="E65" s="9" t="s">
        <v>42</v>
      </c>
      <c r="F65" s="9" t="s">
        <v>43</v>
      </c>
      <c r="G65" s="10"/>
      <c r="H65" s="10"/>
      <c r="I65" s="4" t="s">
        <v>132</v>
      </c>
    </row>
    <row r="66" customFormat="false" ht="31.5" hidden="false" customHeight="true" outlineLevel="0" collapsed="false">
      <c r="A66" s="7" t="n">
        <v>65</v>
      </c>
      <c r="B66" s="8" t="s">
        <v>204</v>
      </c>
      <c r="C66" s="4" t="s">
        <v>216</v>
      </c>
      <c r="D66" s="10" t="s">
        <v>95</v>
      </c>
      <c r="E66" s="9" t="s">
        <v>42</v>
      </c>
      <c r="F66" s="9" t="s">
        <v>43</v>
      </c>
      <c r="G66" s="10"/>
      <c r="H66" s="10"/>
      <c r="I66" s="4" t="s">
        <v>114</v>
      </c>
    </row>
    <row r="67" customFormat="false" ht="31.5" hidden="false" customHeight="true" outlineLevel="0" collapsed="false">
      <c r="A67" s="7" t="n">
        <v>66</v>
      </c>
      <c r="B67" s="8" t="s">
        <v>204</v>
      </c>
      <c r="C67" s="4" t="s">
        <v>217</v>
      </c>
      <c r="D67" s="10" t="s">
        <v>218</v>
      </c>
      <c r="E67" s="9" t="s">
        <v>42</v>
      </c>
      <c r="F67" s="9" t="s">
        <v>43</v>
      </c>
      <c r="G67" s="10"/>
      <c r="H67" s="10"/>
      <c r="I67" s="4" t="s">
        <v>219</v>
      </c>
    </row>
    <row r="68" customFormat="false" ht="31.5" hidden="false" customHeight="true" outlineLevel="0" collapsed="false">
      <c r="A68" s="7" t="n">
        <v>67</v>
      </c>
      <c r="B68" s="8" t="s">
        <v>220</v>
      </c>
      <c r="C68" s="4" t="s">
        <v>221</v>
      </c>
      <c r="D68" s="10" t="s">
        <v>222</v>
      </c>
      <c r="E68" s="12" t="s">
        <v>113</v>
      </c>
      <c r="F68" s="9" t="s">
        <v>43</v>
      </c>
      <c r="G68" s="10"/>
      <c r="H68" s="10"/>
      <c r="I68" s="4" t="s">
        <v>223</v>
      </c>
    </row>
    <row r="69" customFormat="false" ht="31.5" hidden="false" customHeight="true" outlineLevel="0" collapsed="false">
      <c r="A69" s="7" t="n">
        <v>68</v>
      </c>
      <c r="B69" s="8" t="s">
        <v>220</v>
      </c>
      <c r="C69" s="4" t="s">
        <v>224</v>
      </c>
      <c r="D69" s="10" t="s">
        <v>222</v>
      </c>
      <c r="E69" s="12" t="s">
        <v>113</v>
      </c>
      <c r="F69" s="9" t="s">
        <v>43</v>
      </c>
      <c r="G69" s="10"/>
      <c r="H69" s="10"/>
      <c r="I69" s="4" t="s">
        <v>225</v>
      </c>
    </row>
    <row r="70" customFormat="false" ht="31.5" hidden="false" customHeight="true" outlineLevel="0" collapsed="false">
      <c r="A70" s="7" t="n">
        <v>69</v>
      </c>
      <c r="B70" s="8" t="s">
        <v>220</v>
      </c>
      <c r="C70" s="4" t="s">
        <v>226</v>
      </c>
      <c r="D70" s="11" t="s">
        <v>51</v>
      </c>
      <c r="E70" s="9" t="s">
        <v>42</v>
      </c>
      <c r="F70" s="9" t="s">
        <v>43</v>
      </c>
      <c r="G70" s="10"/>
      <c r="H70" s="10"/>
      <c r="I70" s="4" t="s">
        <v>227</v>
      </c>
    </row>
    <row r="71" customFormat="false" ht="31.5" hidden="false" customHeight="true" outlineLevel="0" collapsed="false">
      <c r="A71" s="7" t="n">
        <v>70</v>
      </c>
      <c r="B71" s="8" t="s">
        <v>220</v>
      </c>
      <c r="C71" s="4" t="s">
        <v>228</v>
      </c>
      <c r="D71" s="10" t="s">
        <v>192</v>
      </c>
      <c r="E71" s="10" t="s">
        <v>229</v>
      </c>
      <c r="F71" s="10"/>
      <c r="G71" s="9" t="s">
        <v>57</v>
      </c>
      <c r="H71" s="10"/>
      <c r="I71" s="4" t="s">
        <v>230</v>
      </c>
    </row>
    <row r="72" customFormat="false" ht="31.5" hidden="false" customHeight="true" outlineLevel="0" collapsed="false">
      <c r="A72" s="7" t="n">
        <v>71</v>
      </c>
      <c r="B72" s="8" t="s">
        <v>220</v>
      </c>
      <c r="C72" s="4" t="s">
        <v>231</v>
      </c>
      <c r="D72" s="11" t="s">
        <v>51</v>
      </c>
      <c r="E72" s="9" t="s">
        <v>42</v>
      </c>
      <c r="F72" s="10"/>
      <c r="G72" s="9" t="s">
        <v>57</v>
      </c>
      <c r="H72" s="10"/>
      <c r="I72" s="4" t="s">
        <v>232</v>
      </c>
    </row>
    <row r="73" customFormat="false" ht="31.5" hidden="false" customHeight="true" outlineLevel="0" collapsed="false">
      <c r="A73" s="7" t="n">
        <v>72</v>
      </c>
      <c r="B73" s="8" t="s">
        <v>220</v>
      </c>
      <c r="C73" s="4" t="s">
        <v>233</v>
      </c>
      <c r="D73" s="11" t="s">
        <v>51</v>
      </c>
      <c r="E73" s="9" t="s">
        <v>42</v>
      </c>
      <c r="F73" s="10"/>
      <c r="G73" s="9" t="s">
        <v>57</v>
      </c>
      <c r="H73" s="10"/>
      <c r="I73" s="4" t="s">
        <v>234</v>
      </c>
    </row>
    <row r="74" customFormat="false" ht="31.5" hidden="false" customHeight="true" outlineLevel="0" collapsed="false">
      <c r="A74" s="7" t="n">
        <v>73</v>
      </c>
      <c r="B74" s="8" t="s">
        <v>220</v>
      </c>
      <c r="C74" s="4" t="s">
        <v>235</v>
      </c>
      <c r="D74" s="11" t="s">
        <v>51</v>
      </c>
      <c r="E74" s="9" t="s">
        <v>42</v>
      </c>
      <c r="F74" s="10"/>
      <c r="G74" s="9" t="s">
        <v>57</v>
      </c>
      <c r="H74" s="10"/>
      <c r="I74" s="4" t="s">
        <v>234</v>
      </c>
    </row>
    <row r="75" customFormat="false" ht="31.5" hidden="false" customHeight="true" outlineLevel="0" collapsed="false">
      <c r="A75" s="7" t="n">
        <v>74</v>
      </c>
      <c r="B75" s="8" t="s">
        <v>220</v>
      </c>
      <c r="C75" s="4" t="s">
        <v>236</v>
      </c>
      <c r="D75" s="10" t="s">
        <v>95</v>
      </c>
      <c r="E75" s="12" t="s">
        <v>56</v>
      </c>
      <c r="F75" s="9" t="s">
        <v>43</v>
      </c>
      <c r="G75" s="10"/>
      <c r="H75" s="10"/>
      <c r="I75" s="4" t="s">
        <v>237</v>
      </c>
    </row>
    <row r="76" customFormat="false" ht="31.5" hidden="false" customHeight="true" outlineLevel="0" collapsed="false">
      <c r="A76" s="7" t="n">
        <v>75</v>
      </c>
      <c r="B76" s="8" t="s">
        <v>220</v>
      </c>
      <c r="C76" s="4" t="s">
        <v>238</v>
      </c>
      <c r="D76" s="9" t="s">
        <v>42</v>
      </c>
      <c r="E76" s="9" t="s">
        <v>42</v>
      </c>
      <c r="F76" s="9" t="s">
        <v>43</v>
      </c>
      <c r="G76" s="10"/>
      <c r="H76" s="10"/>
      <c r="I76" s="4" t="s">
        <v>132</v>
      </c>
    </row>
    <row r="77" customFormat="false" ht="31.5" hidden="false" customHeight="true" outlineLevel="0" collapsed="false">
      <c r="A77" s="7" t="n">
        <v>76</v>
      </c>
      <c r="B77" s="8" t="s">
        <v>220</v>
      </c>
      <c r="C77" s="4" t="s">
        <v>239</v>
      </c>
      <c r="D77" s="11" t="s">
        <v>51</v>
      </c>
      <c r="E77" s="10" t="s">
        <v>177</v>
      </c>
      <c r="F77" s="9" t="s">
        <v>43</v>
      </c>
      <c r="G77" s="10"/>
      <c r="H77" s="10"/>
      <c r="I77" s="4" t="s">
        <v>240</v>
      </c>
    </row>
    <row r="78" customFormat="false" ht="31.5" hidden="false" customHeight="true" outlineLevel="0" collapsed="false">
      <c r="A78" s="7" t="n">
        <v>77</v>
      </c>
      <c r="B78" s="8" t="s">
        <v>241</v>
      </c>
      <c r="C78" s="4" t="s">
        <v>242</v>
      </c>
      <c r="D78" s="10" t="s">
        <v>243</v>
      </c>
      <c r="E78" s="11" t="s">
        <v>51</v>
      </c>
      <c r="F78" s="9" t="s">
        <v>43</v>
      </c>
      <c r="G78" s="10"/>
      <c r="H78" s="10"/>
      <c r="I78" s="4" t="s">
        <v>244</v>
      </c>
    </row>
    <row r="79" customFormat="false" ht="31.5" hidden="false" customHeight="true" outlineLevel="0" collapsed="false">
      <c r="A79" s="7" t="n">
        <v>78</v>
      </c>
      <c r="B79" s="8" t="s">
        <v>241</v>
      </c>
      <c r="C79" s="4" t="s">
        <v>245</v>
      </c>
      <c r="D79" s="10" t="s">
        <v>246</v>
      </c>
      <c r="E79" s="10" t="s">
        <v>247</v>
      </c>
      <c r="F79" s="9" t="s">
        <v>43</v>
      </c>
      <c r="G79" s="10"/>
      <c r="H79" s="10"/>
      <c r="I79" s="4" t="s">
        <v>248</v>
      </c>
    </row>
    <row r="80" customFormat="false" ht="31.5" hidden="false" customHeight="true" outlineLevel="0" collapsed="false">
      <c r="A80" s="7" t="n">
        <v>79</v>
      </c>
      <c r="B80" s="8" t="s">
        <v>241</v>
      </c>
      <c r="C80" s="4" t="s">
        <v>249</v>
      </c>
      <c r="D80" s="10" t="s">
        <v>250</v>
      </c>
      <c r="E80" s="9" t="s">
        <v>42</v>
      </c>
      <c r="F80" s="9" t="s">
        <v>43</v>
      </c>
      <c r="G80" s="10"/>
      <c r="H80" s="10"/>
      <c r="I80" s="4" t="s">
        <v>251</v>
      </c>
    </row>
    <row r="81" customFormat="false" ht="31.5" hidden="false" customHeight="true" outlineLevel="0" collapsed="false">
      <c r="A81" s="7" t="n">
        <v>80</v>
      </c>
      <c r="B81" s="8" t="s">
        <v>241</v>
      </c>
      <c r="C81" s="4" t="s">
        <v>252</v>
      </c>
      <c r="D81" s="11" t="s">
        <v>51</v>
      </c>
      <c r="E81" s="9" t="s">
        <v>42</v>
      </c>
      <c r="F81" s="10"/>
      <c r="G81" s="9" t="s">
        <v>57</v>
      </c>
      <c r="H81" s="10"/>
      <c r="I81" s="4" t="s">
        <v>253</v>
      </c>
    </row>
    <row r="82" customFormat="false" ht="31.5" hidden="false" customHeight="true" outlineLevel="0" collapsed="false">
      <c r="A82" s="7" t="n">
        <v>81</v>
      </c>
      <c r="B82" s="8" t="s">
        <v>241</v>
      </c>
      <c r="C82" s="4" t="s">
        <v>254</v>
      </c>
      <c r="D82" s="9" t="s">
        <v>42</v>
      </c>
      <c r="E82" s="9" t="s">
        <v>42</v>
      </c>
      <c r="F82" s="9" t="s">
        <v>43</v>
      </c>
      <c r="G82" s="10"/>
      <c r="H82" s="10"/>
      <c r="I82" s="4" t="s">
        <v>255</v>
      </c>
    </row>
    <row r="83" customFormat="false" ht="31.5" hidden="false" customHeight="true" outlineLevel="0" collapsed="false">
      <c r="A83" s="7" t="n">
        <v>82</v>
      </c>
      <c r="B83" s="8" t="s">
        <v>241</v>
      </c>
      <c r="C83" s="4" t="s">
        <v>256</v>
      </c>
      <c r="D83" s="10" t="s">
        <v>257</v>
      </c>
      <c r="E83" s="12" t="s">
        <v>68</v>
      </c>
      <c r="F83" s="9" t="s">
        <v>43</v>
      </c>
      <c r="G83" s="10"/>
      <c r="H83" s="10"/>
      <c r="I83" s="4" t="s">
        <v>258</v>
      </c>
    </row>
    <row r="84" customFormat="false" ht="31.5" hidden="false" customHeight="true" outlineLevel="0" collapsed="false">
      <c r="A84" s="7" t="n">
        <v>83</v>
      </c>
      <c r="B84" s="8" t="s">
        <v>241</v>
      </c>
      <c r="C84" s="4" t="s">
        <v>259</v>
      </c>
      <c r="D84" s="11" t="s">
        <v>51</v>
      </c>
      <c r="E84" s="11" t="s">
        <v>51</v>
      </c>
      <c r="F84" s="10"/>
      <c r="G84" s="9" t="s">
        <v>57</v>
      </c>
      <c r="H84" s="10"/>
      <c r="I84" s="4" t="s">
        <v>260</v>
      </c>
    </row>
    <row r="85" customFormat="false" ht="31.5" hidden="false" customHeight="true" outlineLevel="0" collapsed="false">
      <c r="A85" s="7" t="n">
        <v>84</v>
      </c>
      <c r="B85" s="8" t="s">
        <v>241</v>
      </c>
      <c r="C85" s="4" t="s">
        <v>261</v>
      </c>
      <c r="D85" s="11" t="s">
        <v>51</v>
      </c>
      <c r="E85" s="10" t="s">
        <v>177</v>
      </c>
      <c r="F85" s="9" t="s">
        <v>43</v>
      </c>
      <c r="G85" s="10"/>
      <c r="H85" s="10"/>
      <c r="I85" s="4" t="s">
        <v>262</v>
      </c>
    </row>
    <row r="86" customFormat="false" ht="31.5" hidden="false" customHeight="true" outlineLevel="0" collapsed="false">
      <c r="A86" s="7" t="n">
        <v>85</v>
      </c>
      <c r="B86" s="8" t="s">
        <v>241</v>
      </c>
      <c r="C86" s="4" t="s">
        <v>263</v>
      </c>
      <c r="D86" s="10" t="s">
        <v>264</v>
      </c>
      <c r="E86" s="10" t="s">
        <v>264</v>
      </c>
      <c r="F86" s="9" t="s">
        <v>43</v>
      </c>
      <c r="G86" s="10"/>
      <c r="H86" s="10"/>
      <c r="I86" s="4" t="s">
        <v>265</v>
      </c>
    </row>
    <row r="87" customFormat="false" ht="31.5" hidden="false" customHeight="true" outlineLevel="0" collapsed="false">
      <c r="A87" s="7" t="n">
        <v>86</v>
      </c>
      <c r="B87" s="8" t="s">
        <v>241</v>
      </c>
      <c r="C87" s="4" t="s">
        <v>266</v>
      </c>
      <c r="D87" s="9" t="s">
        <v>42</v>
      </c>
      <c r="E87" s="9" t="s">
        <v>42</v>
      </c>
      <c r="F87" s="9" t="s">
        <v>43</v>
      </c>
      <c r="G87" s="10"/>
      <c r="H87" s="10"/>
      <c r="I87" s="4" t="s">
        <v>267</v>
      </c>
    </row>
    <row r="88" customFormat="false" ht="31.5" hidden="false" customHeight="true" outlineLevel="0" collapsed="false">
      <c r="A88" s="7" t="n">
        <v>87</v>
      </c>
      <c r="B88" s="8" t="s">
        <v>241</v>
      </c>
      <c r="C88" s="4" t="s">
        <v>268</v>
      </c>
      <c r="D88" s="9" t="s">
        <v>42</v>
      </c>
      <c r="E88" s="9" t="s">
        <v>42</v>
      </c>
      <c r="F88" s="9" t="s">
        <v>43</v>
      </c>
      <c r="G88" s="10"/>
      <c r="H88" s="10"/>
      <c r="I88" s="4" t="s">
        <v>132</v>
      </c>
    </row>
    <row r="89" customFormat="false" ht="31.5" hidden="false" customHeight="true" outlineLevel="0" collapsed="false">
      <c r="A89" s="7" t="n">
        <v>88</v>
      </c>
      <c r="B89" s="8" t="s">
        <v>241</v>
      </c>
      <c r="C89" s="4" t="s">
        <v>269</v>
      </c>
      <c r="D89" s="10" t="s">
        <v>110</v>
      </c>
      <c r="E89" s="9" t="s">
        <v>42</v>
      </c>
      <c r="F89" s="10"/>
      <c r="G89" s="9" t="s">
        <v>57</v>
      </c>
      <c r="H89" s="10"/>
      <c r="I89" s="4" t="s">
        <v>270</v>
      </c>
    </row>
    <row r="90" customFormat="false" ht="31.5" hidden="false" customHeight="true" outlineLevel="0" collapsed="false">
      <c r="A90" s="7" t="n">
        <v>89</v>
      </c>
      <c r="B90" s="8" t="s">
        <v>241</v>
      </c>
      <c r="C90" s="4" t="s">
        <v>271</v>
      </c>
      <c r="D90" s="10" t="s">
        <v>272</v>
      </c>
      <c r="E90" s="11" t="s">
        <v>51</v>
      </c>
      <c r="F90" s="10"/>
      <c r="G90" s="9" t="s">
        <v>57</v>
      </c>
      <c r="H90" s="10"/>
      <c r="I90" s="4" t="s">
        <v>273</v>
      </c>
    </row>
    <row r="91" customFormat="false" ht="31.5" hidden="false" customHeight="true" outlineLevel="0" collapsed="false">
      <c r="A91" s="7" t="n">
        <v>90</v>
      </c>
      <c r="B91" s="8" t="s">
        <v>241</v>
      </c>
      <c r="C91" s="4" t="s">
        <v>274</v>
      </c>
      <c r="D91" s="10" t="s">
        <v>275</v>
      </c>
      <c r="E91" s="11" t="s">
        <v>51</v>
      </c>
      <c r="F91" s="10"/>
      <c r="G91" s="10"/>
      <c r="H91" s="10" t="s">
        <v>65</v>
      </c>
      <c r="I91" s="4" t="s">
        <v>276</v>
      </c>
    </row>
    <row r="93" customFormat="false" ht="15" hidden="false" customHeight="false" outlineLevel="0" collapsed="false">
      <c r="C93" s="13" t="s">
        <v>277</v>
      </c>
      <c r="D93" s="14" t="n">
        <f aca="false">COUNTA(D2:D91)</f>
        <v>90</v>
      </c>
      <c r="E93" s="14" t="n">
        <f aca="false">COUNTA(E2:E91)</f>
        <v>90</v>
      </c>
      <c r="F93" s="14" t="n">
        <f aca="false">COUNTIF(F2:F91,"MVP")</f>
        <v>57</v>
      </c>
      <c r="G93" s="14" t="n">
        <f aca="false">COUNTIF(G2:G91,"V1 core")</f>
        <v>25</v>
      </c>
      <c r="H93" s="14" t="n">
        <f aca="false">COUNTIF(H2:H91,"V2")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0"/>
    <col collapsed="false" customWidth="true" hidden="false" outlineLevel="0" max="4" min="4" style="0" width="40"/>
  </cols>
  <sheetData>
    <row r="1" customFormat="false" ht="30" hidden="false" customHeight="true" outlineLevel="0" collapsed="false">
      <c r="A1" s="6" t="s">
        <v>278</v>
      </c>
      <c r="B1" s="6" t="s">
        <v>34</v>
      </c>
      <c r="C1" s="6" t="s">
        <v>35</v>
      </c>
      <c r="D1" s="6" t="s">
        <v>279</v>
      </c>
    </row>
    <row r="2" customFormat="false" ht="48" hidden="false" customHeight="true" outlineLevel="0" collapsed="false">
      <c r="A2" s="3" t="s">
        <v>280</v>
      </c>
      <c r="B2" s="4" t="s">
        <v>281</v>
      </c>
      <c r="C2" s="4" t="s">
        <v>282</v>
      </c>
      <c r="D2" s="15" t="s">
        <v>283</v>
      </c>
    </row>
    <row r="3" customFormat="false" ht="48" hidden="false" customHeight="true" outlineLevel="0" collapsed="false">
      <c r="A3" s="3" t="s">
        <v>284</v>
      </c>
      <c r="B3" s="4" t="s">
        <v>285</v>
      </c>
      <c r="C3" s="4" t="s">
        <v>286</v>
      </c>
      <c r="D3" s="15" t="s">
        <v>287</v>
      </c>
    </row>
    <row r="4" customFormat="false" ht="48" hidden="false" customHeight="true" outlineLevel="0" collapsed="false">
      <c r="A4" s="3" t="s">
        <v>288</v>
      </c>
      <c r="B4" s="4" t="s">
        <v>289</v>
      </c>
      <c r="C4" s="4" t="s">
        <v>290</v>
      </c>
      <c r="D4" s="15" t="s">
        <v>291</v>
      </c>
    </row>
    <row r="5" customFormat="false" ht="48" hidden="false" customHeight="true" outlineLevel="0" collapsed="false">
      <c r="A5" s="3" t="s">
        <v>292</v>
      </c>
      <c r="B5" s="4" t="s">
        <v>293</v>
      </c>
      <c r="C5" s="4" t="s">
        <v>294</v>
      </c>
      <c r="D5" s="15" t="s">
        <v>295</v>
      </c>
    </row>
    <row r="6" customFormat="false" ht="48" hidden="false" customHeight="true" outlineLevel="0" collapsed="false">
      <c r="A6" s="3" t="s">
        <v>296</v>
      </c>
      <c r="B6" s="4" t="s">
        <v>297</v>
      </c>
      <c r="C6" s="4" t="s">
        <v>298</v>
      </c>
      <c r="D6" s="15" t="s">
        <v>299</v>
      </c>
    </row>
    <row r="7" customFormat="false" ht="48" hidden="false" customHeight="true" outlineLevel="0" collapsed="false">
      <c r="A7" s="3" t="s">
        <v>300</v>
      </c>
      <c r="B7" s="4" t="s">
        <v>301</v>
      </c>
      <c r="C7" s="4" t="s">
        <v>302</v>
      </c>
      <c r="D7" s="15" t="s">
        <v>303</v>
      </c>
    </row>
    <row r="8" customFormat="false" ht="48" hidden="false" customHeight="true" outlineLevel="0" collapsed="false">
      <c r="A8" s="3" t="s">
        <v>304</v>
      </c>
      <c r="B8" s="4" t="s">
        <v>305</v>
      </c>
      <c r="C8" s="4" t="s">
        <v>306</v>
      </c>
      <c r="D8" s="15" t="s">
        <v>307</v>
      </c>
    </row>
    <row r="11" customFormat="false" ht="24" hidden="false" customHeight="true" outlineLevel="0" collapsed="false">
      <c r="A11" s="16" t="s">
        <v>308</v>
      </c>
      <c r="B11" s="16"/>
      <c r="C11" s="16"/>
      <c r="D11" s="16"/>
    </row>
    <row r="12" customFormat="false" ht="21.75" hidden="false" customHeight="true" outlineLevel="0" collapsed="false">
      <c r="A12" s="17" t="s">
        <v>309</v>
      </c>
      <c r="B12" s="17"/>
      <c r="C12" s="17"/>
      <c r="D12" s="17"/>
    </row>
    <row r="13" customFormat="false" ht="21.75" hidden="false" customHeight="true" outlineLevel="0" collapsed="false">
      <c r="A13" s="17" t="s">
        <v>310</v>
      </c>
      <c r="B13" s="17"/>
      <c r="C13" s="17"/>
      <c r="D13" s="17"/>
    </row>
    <row r="14" customFormat="false" ht="21.75" hidden="false" customHeight="true" outlineLevel="0" collapsed="false">
      <c r="A14" s="17" t="s">
        <v>311</v>
      </c>
      <c r="B14" s="17"/>
      <c r="C14" s="17"/>
      <c r="D14" s="17"/>
    </row>
    <row r="15" customFormat="false" ht="21.75" hidden="false" customHeight="true" outlineLevel="0" collapsed="false">
      <c r="A15" s="17" t="s">
        <v>312</v>
      </c>
      <c r="B15" s="17"/>
      <c r="C15" s="17"/>
      <c r="D15" s="17"/>
    </row>
    <row r="16" customFormat="false" ht="21.75" hidden="false" customHeight="true" outlineLevel="0" collapsed="false">
      <c r="A16" s="17" t="s">
        <v>313</v>
      </c>
      <c r="B16" s="17"/>
      <c r="C16" s="17"/>
      <c r="D16" s="17"/>
    </row>
    <row r="17" customFormat="false" ht="21.75" hidden="false" customHeight="true" outlineLevel="0" collapsed="false">
      <c r="A17" s="17" t="s">
        <v>314</v>
      </c>
      <c r="B17" s="17"/>
      <c r="C17" s="17"/>
      <c r="D17" s="17"/>
    </row>
    <row r="18" customFormat="false" ht="21.75" hidden="false" customHeight="true" outlineLevel="0" collapsed="false">
      <c r="A18" s="17" t="s">
        <v>315</v>
      </c>
      <c r="B18" s="17"/>
      <c r="C18" s="17"/>
      <c r="D18" s="17"/>
    </row>
  </sheetData>
  <mergeCells count="8">
    <mergeCell ref="A11:D11"/>
    <mergeCell ref="A12:D12"/>
    <mergeCell ref="A13:D13"/>
    <mergeCell ref="A14:D14"/>
    <mergeCell ref="A15:D15"/>
    <mergeCell ref="A16:D16"/>
    <mergeCell ref="A17:D17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46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6" t="s">
        <v>31</v>
      </c>
      <c r="B1" s="6" t="s">
        <v>32</v>
      </c>
      <c r="C1" s="6" t="s">
        <v>316</v>
      </c>
      <c r="D1" s="6" t="s">
        <v>317</v>
      </c>
      <c r="E1" s="6" t="s">
        <v>318</v>
      </c>
      <c r="F1" s="6" t="s">
        <v>319</v>
      </c>
      <c r="G1" s="6" t="s">
        <v>320</v>
      </c>
    </row>
    <row r="2" customFormat="false" ht="31.5" hidden="false" customHeight="true" outlineLevel="0" collapsed="false">
      <c r="A2" s="10" t="n">
        <v>1</v>
      </c>
      <c r="B2" s="18" t="s">
        <v>321</v>
      </c>
      <c r="C2" s="4" t="s">
        <v>322</v>
      </c>
      <c r="D2" s="4" t="s">
        <v>323</v>
      </c>
      <c r="E2" s="4" t="s">
        <v>324</v>
      </c>
      <c r="F2" s="9" t="s">
        <v>43</v>
      </c>
      <c r="G2" s="10" t="n">
        <v>1</v>
      </c>
    </row>
    <row r="3" customFormat="false" ht="31.5" hidden="false" customHeight="true" outlineLevel="0" collapsed="false">
      <c r="A3" s="10" t="n">
        <v>2</v>
      </c>
      <c r="B3" s="18" t="s">
        <v>321</v>
      </c>
      <c r="C3" s="4" t="s">
        <v>325</v>
      </c>
      <c r="D3" s="4" t="s">
        <v>326</v>
      </c>
      <c r="E3" s="4" t="s">
        <v>327</v>
      </c>
      <c r="F3" s="9" t="s">
        <v>43</v>
      </c>
      <c r="G3" s="10" t="n">
        <v>2</v>
      </c>
    </row>
    <row r="4" customFormat="false" ht="31.5" hidden="false" customHeight="true" outlineLevel="0" collapsed="false">
      <c r="A4" s="10" t="n">
        <v>3</v>
      </c>
      <c r="B4" s="18" t="s">
        <v>321</v>
      </c>
      <c r="C4" s="4" t="s">
        <v>328</v>
      </c>
      <c r="D4" s="4" t="s">
        <v>329</v>
      </c>
      <c r="E4" s="4" t="s">
        <v>330</v>
      </c>
      <c r="F4" s="9" t="s">
        <v>43</v>
      </c>
      <c r="G4" s="10" t="n">
        <v>4</v>
      </c>
    </row>
    <row r="5" customFormat="false" ht="31.5" hidden="false" customHeight="true" outlineLevel="0" collapsed="false">
      <c r="A5" s="10" t="n">
        <v>4</v>
      </c>
      <c r="B5" s="18" t="s">
        <v>321</v>
      </c>
      <c r="C5" s="4" t="s">
        <v>331</v>
      </c>
      <c r="D5" s="4" t="s">
        <v>332</v>
      </c>
      <c r="E5" s="4" t="s">
        <v>333</v>
      </c>
      <c r="F5" s="9" t="s">
        <v>43</v>
      </c>
      <c r="G5" s="10" t="n">
        <v>1</v>
      </c>
    </row>
    <row r="6" customFormat="false" ht="31.5" hidden="false" customHeight="true" outlineLevel="0" collapsed="false">
      <c r="A6" s="10" t="n">
        <v>5</v>
      </c>
      <c r="B6" s="18" t="s">
        <v>321</v>
      </c>
      <c r="C6" s="4" t="s">
        <v>334</v>
      </c>
      <c r="D6" s="4" t="s">
        <v>335</v>
      </c>
      <c r="E6" s="4" t="s">
        <v>336</v>
      </c>
      <c r="F6" s="9" t="s">
        <v>43</v>
      </c>
      <c r="G6" s="10" t="n">
        <v>1</v>
      </c>
    </row>
    <row r="7" customFormat="false" ht="31.5" hidden="false" customHeight="true" outlineLevel="0" collapsed="false">
      <c r="A7" s="10" t="n">
        <v>6</v>
      </c>
      <c r="B7" s="18" t="s">
        <v>321</v>
      </c>
      <c r="C7" s="4" t="s">
        <v>337</v>
      </c>
      <c r="D7" s="4" t="s">
        <v>338</v>
      </c>
      <c r="E7" s="4" t="s">
        <v>339</v>
      </c>
      <c r="F7" s="9" t="s">
        <v>43</v>
      </c>
      <c r="G7" s="10" t="n">
        <v>3</v>
      </c>
    </row>
    <row r="8" customFormat="false" ht="31.5" hidden="false" customHeight="true" outlineLevel="0" collapsed="false">
      <c r="A8" s="10" t="n">
        <v>7</v>
      </c>
      <c r="B8" s="18" t="s">
        <v>321</v>
      </c>
      <c r="C8" s="4" t="s">
        <v>340</v>
      </c>
      <c r="D8" s="4" t="s">
        <v>341</v>
      </c>
      <c r="E8" s="4" t="s">
        <v>342</v>
      </c>
      <c r="F8" s="9" t="s">
        <v>43</v>
      </c>
      <c r="G8" s="10" t="n">
        <v>1</v>
      </c>
    </row>
    <row r="9" customFormat="false" ht="31.5" hidden="false" customHeight="true" outlineLevel="0" collapsed="false">
      <c r="A9" s="10" t="n">
        <v>8</v>
      </c>
      <c r="B9" s="18" t="s">
        <v>321</v>
      </c>
      <c r="C9" s="4" t="s">
        <v>343</v>
      </c>
      <c r="D9" s="4" t="s">
        <v>34</v>
      </c>
      <c r="E9" s="4" t="s">
        <v>344</v>
      </c>
      <c r="F9" s="9" t="s">
        <v>43</v>
      </c>
      <c r="G9" s="10" t="n">
        <v>1</v>
      </c>
    </row>
    <row r="10" customFormat="false" ht="31.5" hidden="false" customHeight="true" outlineLevel="0" collapsed="false">
      <c r="A10" s="10" t="n">
        <v>9</v>
      </c>
      <c r="B10" s="18" t="s">
        <v>321</v>
      </c>
      <c r="C10" s="4" t="s">
        <v>345</v>
      </c>
      <c r="D10" s="4" t="s">
        <v>346</v>
      </c>
      <c r="E10" s="4" t="s">
        <v>347</v>
      </c>
      <c r="F10" s="9" t="s">
        <v>43</v>
      </c>
      <c r="G10" s="10" t="n">
        <v>2</v>
      </c>
    </row>
    <row r="11" customFormat="false" ht="31.5" hidden="false" customHeight="true" outlineLevel="0" collapsed="false">
      <c r="A11" s="10" t="n">
        <v>10</v>
      </c>
      <c r="B11" s="18" t="s">
        <v>321</v>
      </c>
      <c r="C11" s="4" t="s">
        <v>348</v>
      </c>
      <c r="D11" s="4" t="s">
        <v>34</v>
      </c>
      <c r="E11" s="4" t="s">
        <v>349</v>
      </c>
      <c r="F11" s="9" t="s">
        <v>43</v>
      </c>
      <c r="G11" s="10" t="n">
        <v>1</v>
      </c>
    </row>
    <row r="12" customFormat="false" ht="31.5" hidden="false" customHeight="true" outlineLevel="0" collapsed="false">
      <c r="A12" s="10" t="n">
        <v>11</v>
      </c>
      <c r="B12" s="19" t="s">
        <v>350</v>
      </c>
      <c r="C12" s="4" t="s">
        <v>351</v>
      </c>
      <c r="D12" s="4" t="s">
        <v>352</v>
      </c>
      <c r="E12" s="4" t="s">
        <v>353</v>
      </c>
      <c r="F12" s="9" t="s">
        <v>43</v>
      </c>
      <c r="G12" s="10" t="n">
        <v>4</v>
      </c>
    </row>
    <row r="13" customFormat="false" ht="31.5" hidden="false" customHeight="true" outlineLevel="0" collapsed="false">
      <c r="A13" s="10" t="n">
        <v>12</v>
      </c>
      <c r="B13" s="19" t="s">
        <v>350</v>
      </c>
      <c r="C13" s="4" t="s">
        <v>354</v>
      </c>
      <c r="D13" s="4" t="s">
        <v>355</v>
      </c>
      <c r="E13" s="4" t="s">
        <v>356</v>
      </c>
      <c r="F13" s="9" t="s">
        <v>43</v>
      </c>
      <c r="G13" s="10" t="n">
        <v>5</v>
      </c>
    </row>
    <row r="14" customFormat="false" ht="31.5" hidden="false" customHeight="true" outlineLevel="0" collapsed="false">
      <c r="A14" s="10" t="n">
        <v>13</v>
      </c>
      <c r="B14" s="19" t="s">
        <v>350</v>
      </c>
      <c r="C14" s="4" t="s">
        <v>357</v>
      </c>
      <c r="D14" s="4" t="s">
        <v>358</v>
      </c>
      <c r="E14" s="4" t="s">
        <v>359</v>
      </c>
      <c r="F14" s="20" t="s">
        <v>360</v>
      </c>
      <c r="G14" s="10" t="n">
        <v>4</v>
      </c>
    </row>
    <row r="15" customFormat="false" ht="31.5" hidden="false" customHeight="true" outlineLevel="0" collapsed="false">
      <c r="A15" s="10" t="n">
        <v>14</v>
      </c>
      <c r="B15" s="19" t="s">
        <v>350</v>
      </c>
      <c r="C15" s="4" t="s">
        <v>361</v>
      </c>
      <c r="D15" s="4" t="s">
        <v>358</v>
      </c>
      <c r="E15" s="4" t="s">
        <v>362</v>
      </c>
      <c r="F15" s="9" t="s">
        <v>43</v>
      </c>
      <c r="G15" s="10" t="n">
        <v>3</v>
      </c>
    </row>
    <row r="16" customFormat="false" ht="31.5" hidden="false" customHeight="true" outlineLevel="0" collapsed="false">
      <c r="A16" s="10" t="n">
        <v>15</v>
      </c>
      <c r="B16" s="19" t="s">
        <v>350</v>
      </c>
      <c r="C16" s="4" t="s">
        <v>363</v>
      </c>
      <c r="D16" s="4" t="s">
        <v>35</v>
      </c>
      <c r="E16" s="4" t="s">
        <v>364</v>
      </c>
      <c r="F16" s="20" t="s">
        <v>360</v>
      </c>
      <c r="G16" s="10" t="n">
        <v>5</v>
      </c>
    </row>
    <row r="17" customFormat="false" ht="31.5" hidden="false" customHeight="true" outlineLevel="0" collapsed="false">
      <c r="A17" s="10" t="n">
        <v>16</v>
      </c>
      <c r="B17" s="19" t="s">
        <v>350</v>
      </c>
      <c r="C17" s="4" t="s">
        <v>365</v>
      </c>
      <c r="D17" s="4" t="s">
        <v>366</v>
      </c>
      <c r="E17" s="4" t="s">
        <v>367</v>
      </c>
      <c r="F17" s="20" t="s">
        <v>360</v>
      </c>
      <c r="G17" s="10" t="n">
        <v>4</v>
      </c>
    </row>
    <row r="18" customFormat="false" ht="31.5" hidden="false" customHeight="true" outlineLevel="0" collapsed="false">
      <c r="A18" s="10" t="n">
        <v>17</v>
      </c>
      <c r="B18" s="19" t="s">
        <v>350</v>
      </c>
      <c r="C18" s="4" t="s">
        <v>368</v>
      </c>
      <c r="D18" s="4" t="s">
        <v>34</v>
      </c>
      <c r="E18" s="4" t="s">
        <v>369</v>
      </c>
      <c r="F18" s="9" t="s">
        <v>43</v>
      </c>
      <c r="G18" s="10" t="n">
        <v>4</v>
      </c>
    </row>
    <row r="19" customFormat="false" ht="31.5" hidden="false" customHeight="true" outlineLevel="0" collapsed="false">
      <c r="A19" s="10" t="n">
        <v>18</v>
      </c>
      <c r="B19" s="19" t="s">
        <v>350</v>
      </c>
      <c r="C19" s="4" t="s">
        <v>370</v>
      </c>
      <c r="D19" s="4" t="s">
        <v>371</v>
      </c>
      <c r="E19" s="4" t="s">
        <v>372</v>
      </c>
      <c r="F19" s="9" t="s">
        <v>43</v>
      </c>
      <c r="G19" s="10" t="n">
        <v>2</v>
      </c>
    </row>
    <row r="20" customFormat="false" ht="31.5" hidden="false" customHeight="true" outlineLevel="0" collapsed="false">
      <c r="A20" s="10" t="n">
        <v>19</v>
      </c>
      <c r="B20" s="21" t="s">
        <v>373</v>
      </c>
      <c r="C20" s="4" t="s">
        <v>374</v>
      </c>
      <c r="D20" s="4" t="s">
        <v>375</v>
      </c>
      <c r="E20" s="4" t="s">
        <v>376</v>
      </c>
      <c r="F20" s="20" t="s">
        <v>65</v>
      </c>
      <c r="G20" s="10" t="n">
        <v>5</v>
      </c>
    </row>
    <row r="21" customFormat="false" ht="31.5" hidden="false" customHeight="true" outlineLevel="0" collapsed="false">
      <c r="A21" s="10" t="n">
        <v>20</v>
      </c>
      <c r="B21" s="21" t="s">
        <v>373</v>
      </c>
      <c r="C21" s="4" t="s">
        <v>377</v>
      </c>
      <c r="D21" s="4" t="s">
        <v>35</v>
      </c>
      <c r="E21" s="4" t="s">
        <v>378</v>
      </c>
      <c r="F21" s="20" t="s">
        <v>65</v>
      </c>
      <c r="G21" s="10" t="n">
        <v>5</v>
      </c>
    </row>
    <row r="22" customFormat="false" ht="31.5" hidden="false" customHeight="true" outlineLevel="0" collapsed="false">
      <c r="A22" s="10" t="n">
        <v>21</v>
      </c>
      <c r="B22" s="21" t="s">
        <v>373</v>
      </c>
      <c r="C22" s="4" t="s">
        <v>379</v>
      </c>
      <c r="D22" s="4" t="s">
        <v>35</v>
      </c>
      <c r="E22" s="4" t="s">
        <v>380</v>
      </c>
      <c r="F22" s="20" t="s">
        <v>65</v>
      </c>
      <c r="G22" s="10" t="n">
        <v>5</v>
      </c>
    </row>
    <row r="23" customFormat="false" ht="31.5" hidden="false" customHeight="true" outlineLevel="0" collapsed="false">
      <c r="A23" s="10" t="n">
        <v>22</v>
      </c>
      <c r="B23" s="21" t="s">
        <v>373</v>
      </c>
      <c r="C23" s="4" t="s">
        <v>381</v>
      </c>
      <c r="D23" s="4" t="s">
        <v>382</v>
      </c>
      <c r="E23" s="4" t="s">
        <v>383</v>
      </c>
      <c r="F23" s="20" t="s">
        <v>360</v>
      </c>
      <c r="G23" s="10" t="n">
        <v>3</v>
      </c>
    </row>
    <row r="24" customFormat="false" ht="31.5" hidden="false" customHeight="true" outlineLevel="0" collapsed="false">
      <c r="A24" s="10" t="n">
        <v>23</v>
      </c>
      <c r="B24" s="21" t="s">
        <v>373</v>
      </c>
      <c r="C24" s="4" t="s">
        <v>384</v>
      </c>
      <c r="D24" s="4" t="s">
        <v>385</v>
      </c>
      <c r="E24" s="4" t="s">
        <v>386</v>
      </c>
      <c r="F24" s="20" t="s">
        <v>360</v>
      </c>
      <c r="G24" s="10" t="n">
        <v>4</v>
      </c>
    </row>
    <row r="25" customFormat="false" ht="31.5" hidden="false" customHeight="true" outlineLevel="0" collapsed="false">
      <c r="A25" s="10" t="n">
        <v>24</v>
      </c>
      <c r="B25" s="22" t="s">
        <v>387</v>
      </c>
      <c r="C25" s="4" t="s">
        <v>388</v>
      </c>
      <c r="D25" s="4" t="s">
        <v>389</v>
      </c>
      <c r="E25" s="4" t="s">
        <v>390</v>
      </c>
      <c r="F25" s="20" t="s">
        <v>391</v>
      </c>
      <c r="G25" s="10" t="s">
        <v>391</v>
      </c>
    </row>
    <row r="26" customFormat="false" ht="31.5" hidden="false" customHeight="true" outlineLevel="0" collapsed="false">
      <c r="A26" s="10" t="n">
        <v>25</v>
      </c>
      <c r="B26" s="22" t="s">
        <v>387</v>
      </c>
      <c r="C26" s="4" t="s">
        <v>392</v>
      </c>
      <c r="D26" s="4" t="s">
        <v>393</v>
      </c>
      <c r="E26" s="4" t="s">
        <v>394</v>
      </c>
      <c r="F26" s="20" t="s">
        <v>391</v>
      </c>
      <c r="G26" s="10" t="s">
        <v>391</v>
      </c>
    </row>
    <row r="27" customFormat="false" ht="31.5" hidden="false" customHeight="true" outlineLevel="0" collapsed="false">
      <c r="A27" s="10" t="n">
        <v>26</v>
      </c>
      <c r="B27" s="22" t="s">
        <v>387</v>
      </c>
      <c r="C27" s="4" t="s">
        <v>395</v>
      </c>
      <c r="D27" s="4" t="s">
        <v>35</v>
      </c>
      <c r="E27" s="4" t="s">
        <v>396</v>
      </c>
      <c r="F27" s="20" t="s">
        <v>391</v>
      </c>
      <c r="G27" s="10" t="s">
        <v>391</v>
      </c>
    </row>
    <row r="28" customFormat="false" ht="31.5" hidden="false" customHeight="true" outlineLevel="0" collapsed="false">
      <c r="A28" s="10" t="n">
        <v>27</v>
      </c>
      <c r="B28" s="22" t="s">
        <v>387</v>
      </c>
      <c r="C28" s="4" t="s">
        <v>397</v>
      </c>
      <c r="D28" s="4" t="s">
        <v>34</v>
      </c>
      <c r="E28" s="4" t="s">
        <v>398</v>
      </c>
      <c r="F28" s="20" t="s">
        <v>391</v>
      </c>
      <c r="G28" s="10" t="s">
        <v>391</v>
      </c>
    </row>
    <row r="30" customFormat="false" ht="24" hidden="false" customHeight="true" outlineLevel="0" collapsed="false">
      <c r="A30" s="5" t="s">
        <v>399</v>
      </c>
      <c r="B30" s="5"/>
      <c r="C30" s="5"/>
      <c r="D30" s="5"/>
      <c r="E30" s="5"/>
      <c r="F30" s="5"/>
      <c r="G30" s="5"/>
    </row>
  </sheetData>
  <mergeCells count="1"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8"/>
    <col collapsed="false" customWidth="true" hidden="false" outlineLevel="0" max="4" min="4" style="0" width="52"/>
    <col collapsed="false" customWidth="true" hidden="false" outlineLevel="0" max="5" min="5" style="0" width="32"/>
  </cols>
  <sheetData>
    <row r="1" customFormat="false" ht="31.5" hidden="false" customHeight="true" outlineLevel="0" collapsed="false">
      <c r="A1" s="6" t="s">
        <v>400</v>
      </c>
      <c r="B1" s="6" t="s">
        <v>401</v>
      </c>
      <c r="C1" s="6" t="s">
        <v>402</v>
      </c>
      <c r="D1" s="6" t="s">
        <v>403</v>
      </c>
      <c r="E1" s="6" t="s">
        <v>404</v>
      </c>
    </row>
    <row r="2" customFormat="false" ht="57.75" hidden="false" customHeight="true" outlineLevel="0" collapsed="false">
      <c r="A2" s="19" t="s">
        <v>405</v>
      </c>
      <c r="B2" s="10" t="s">
        <v>406</v>
      </c>
      <c r="C2" s="23" t="s">
        <v>407</v>
      </c>
      <c r="D2" s="4" t="s">
        <v>408</v>
      </c>
      <c r="E2" s="15" t="s">
        <v>409</v>
      </c>
    </row>
    <row r="3" customFormat="false" ht="57.75" hidden="false" customHeight="true" outlineLevel="0" collapsed="false">
      <c r="A3" s="19" t="s">
        <v>410</v>
      </c>
      <c r="B3" s="10" t="s">
        <v>411</v>
      </c>
      <c r="C3" s="23" t="s">
        <v>412</v>
      </c>
      <c r="D3" s="4" t="s">
        <v>413</v>
      </c>
      <c r="E3" s="15" t="s">
        <v>414</v>
      </c>
    </row>
    <row r="4" customFormat="false" ht="57.75" hidden="false" customHeight="true" outlineLevel="0" collapsed="false">
      <c r="A4" s="19" t="s">
        <v>415</v>
      </c>
      <c r="B4" s="10" t="s">
        <v>416</v>
      </c>
      <c r="C4" s="23" t="s">
        <v>417</v>
      </c>
      <c r="D4" s="4" t="s">
        <v>418</v>
      </c>
      <c r="E4" s="15" t="s">
        <v>419</v>
      </c>
    </row>
    <row r="5" customFormat="false" ht="57.75" hidden="false" customHeight="true" outlineLevel="0" collapsed="false">
      <c r="A5" s="19" t="s">
        <v>420</v>
      </c>
      <c r="B5" s="10" t="s">
        <v>421</v>
      </c>
      <c r="C5" s="23" t="s">
        <v>422</v>
      </c>
      <c r="D5" s="4" t="s">
        <v>423</v>
      </c>
      <c r="E5" s="15" t="s">
        <v>424</v>
      </c>
    </row>
    <row r="6" customFormat="false" ht="57.75" hidden="false" customHeight="true" outlineLevel="0" collapsed="false">
      <c r="A6" s="19" t="s">
        <v>425</v>
      </c>
      <c r="B6" s="10" t="s">
        <v>426</v>
      </c>
      <c r="C6" s="23" t="s">
        <v>427</v>
      </c>
      <c r="D6" s="4" t="s">
        <v>428</v>
      </c>
      <c r="E6" s="15" t="s">
        <v>429</v>
      </c>
    </row>
    <row r="7" customFormat="false" ht="57.75" hidden="false" customHeight="true" outlineLevel="0" collapsed="false">
      <c r="A7" s="19" t="s">
        <v>430</v>
      </c>
      <c r="B7" s="10" t="s">
        <v>431</v>
      </c>
      <c r="C7" s="23" t="s">
        <v>432</v>
      </c>
      <c r="D7" s="4" t="s">
        <v>433</v>
      </c>
      <c r="E7" s="15" t="s">
        <v>434</v>
      </c>
    </row>
    <row r="8" customFormat="false" ht="57.75" hidden="false" customHeight="true" outlineLevel="0" collapsed="false">
      <c r="A8" s="19" t="s">
        <v>435</v>
      </c>
      <c r="B8" s="10" t="s">
        <v>436</v>
      </c>
      <c r="C8" s="23" t="s">
        <v>437</v>
      </c>
      <c r="D8" s="4" t="s">
        <v>438</v>
      </c>
      <c r="E8" s="15" t="s">
        <v>439</v>
      </c>
    </row>
    <row r="9" customFormat="false" ht="57.75" hidden="false" customHeight="true" outlineLevel="0" collapsed="false">
      <c r="A9" s="19" t="s">
        <v>440</v>
      </c>
      <c r="B9" s="10" t="s">
        <v>441</v>
      </c>
      <c r="C9" s="23" t="s">
        <v>442</v>
      </c>
      <c r="D9" s="4" t="s">
        <v>443</v>
      </c>
      <c r="E9" s="15" t="s">
        <v>444</v>
      </c>
    </row>
    <row r="10" customFormat="false" ht="57.75" hidden="false" customHeight="true" outlineLevel="0" collapsed="false">
      <c r="A10" s="19" t="s">
        <v>445</v>
      </c>
      <c r="B10" s="10" t="s">
        <v>446</v>
      </c>
      <c r="C10" s="23" t="s">
        <v>447</v>
      </c>
      <c r="D10" s="4" t="s">
        <v>448</v>
      </c>
      <c r="E10" s="15" t="s">
        <v>449</v>
      </c>
    </row>
    <row r="11" customFormat="false" ht="57.75" hidden="false" customHeight="true" outlineLevel="0" collapsed="false">
      <c r="A11" s="19" t="s">
        <v>450</v>
      </c>
      <c r="B11" s="10" t="s">
        <v>451</v>
      </c>
      <c r="C11" s="23" t="s">
        <v>452</v>
      </c>
      <c r="D11" s="4" t="s">
        <v>453</v>
      </c>
      <c r="E11" s="15" t="s">
        <v>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5" min="4" style="0" width="40"/>
  </cols>
  <sheetData>
    <row r="1" customFormat="false" ht="31.5" hidden="false" customHeight="true" outlineLevel="0" collapsed="false">
      <c r="A1" s="6" t="s">
        <v>31</v>
      </c>
      <c r="B1" s="6" t="s">
        <v>455</v>
      </c>
      <c r="C1" s="6" t="s">
        <v>456</v>
      </c>
      <c r="D1" s="6" t="s">
        <v>457</v>
      </c>
      <c r="E1" s="6" t="s">
        <v>458</v>
      </c>
    </row>
    <row r="2" customFormat="false" ht="63.75" hidden="false" customHeight="true" outlineLevel="0" collapsed="false">
      <c r="A2" s="24" t="n">
        <v>1</v>
      </c>
      <c r="B2" s="25" t="s">
        <v>459</v>
      </c>
      <c r="C2" s="26" t="s">
        <v>460</v>
      </c>
      <c r="D2" s="4" t="s">
        <v>461</v>
      </c>
      <c r="E2" s="27" t="s">
        <v>462</v>
      </c>
    </row>
    <row r="3" customFormat="false" ht="63.75" hidden="false" customHeight="true" outlineLevel="0" collapsed="false">
      <c r="A3" s="24" t="n">
        <v>2</v>
      </c>
      <c r="B3" s="25" t="s">
        <v>463</v>
      </c>
      <c r="C3" s="26" t="s">
        <v>464</v>
      </c>
      <c r="D3" s="4" t="s">
        <v>465</v>
      </c>
      <c r="E3" s="27" t="s">
        <v>466</v>
      </c>
    </row>
    <row r="4" customFormat="false" ht="63.75" hidden="false" customHeight="true" outlineLevel="0" collapsed="false">
      <c r="A4" s="24" t="n">
        <v>3</v>
      </c>
      <c r="B4" s="25" t="s">
        <v>467</v>
      </c>
      <c r="C4" s="26" t="s">
        <v>468</v>
      </c>
      <c r="D4" s="4" t="s">
        <v>469</v>
      </c>
      <c r="E4" s="27" t="s">
        <v>470</v>
      </c>
    </row>
    <row r="5" customFormat="false" ht="63.75" hidden="false" customHeight="true" outlineLevel="0" collapsed="false">
      <c r="A5" s="24" t="n">
        <v>4</v>
      </c>
      <c r="B5" s="25" t="s">
        <v>471</v>
      </c>
      <c r="C5" s="26" t="s">
        <v>472</v>
      </c>
      <c r="D5" s="4" t="s">
        <v>473</v>
      </c>
      <c r="E5" s="27" t="s">
        <v>474</v>
      </c>
    </row>
    <row r="6" customFormat="false" ht="63.75" hidden="false" customHeight="true" outlineLevel="0" collapsed="false">
      <c r="A6" s="24" t="n">
        <v>5</v>
      </c>
      <c r="B6" s="25" t="s">
        <v>475</v>
      </c>
      <c r="C6" s="26" t="s">
        <v>476</v>
      </c>
      <c r="D6" s="4" t="s">
        <v>477</v>
      </c>
      <c r="E6" s="27" t="s">
        <v>478</v>
      </c>
    </row>
    <row r="7" customFormat="false" ht="63.75" hidden="false" customHeight="true" outlineLevel="0" collapsed="false">
      <c r="A7" s="24" t="n">
        <v>6</v>
      </c>
      <c r="B7" s="25" t="s">
        <v>479</v>
      </c>
      <c r="C7" s="26" t="s">
        <v>480</v>
      </c>
      <c r="D7" s="4" t="s">
        <v>481</v>
      </c>
      <c r="E7" s="27" t="s">
        <v>482</v>
      </c>
    </row>
    <row r="8" customFormat="false" ht="63.75" hidden="false" customHeight="true" outlineLevel="0" collapsed="false">
      <c r="A8" s="24" t="n">
        <v>7</v>
      </c>
      <c r="B8" s="25" t="s">
        <v>483</v>
      </c>
      <c r="C8" s="26" t="s">
        <v>484</v>
      </c>
      <c r="D8" s="4" t="s">
        <v>485</v>
      </c>
      <c r="E8" s="27" t="s">
        <v>486</v>
      </c>
    </row>
    <row r="9" customFormat="false" ht="63.75" hidden="false" customHeight="true" outlineLevel="0" collapsed="false">
      <c r="A9" s="24" t="n">
        <v>8</v>
      </c>
      <c r="B9" s="25" t="s">
        <v>487</v>
      </c>
      <c r="C9" s="26" t="s">
        <v>488</v>
      </c>
      <c r="D9" s="4" t="s">
        <v>489</v>
      </c>
      <c r="E9" s="27" t="s">
        <v>490</v>
      </c>
    </row>
    <row r="10" customFormat="false" ht="63.75" hidden="false" customHeight="true" outlineLevel="0" collapsed="false">
      <c r="A10" s="24" t="n">
        <v>9</v>
      </c>
      <c r="B10" s="25" t="s">
        <v>491</v>
      </c>
      <c r="C10" s="26" t="s">
        <v>492</v>
      </c>
      <c r="D10" s="4" t="s">
        <v>493</v>
      </c>
      <c r="E10" s="27" t="s">
        <v>494</v>
      </c>
    </row>
    <row r="11" customFormat="false" ht="63.75" hidden="false" customHeight="true" outlineLevel="0" collapsed="false">
      <c r="A11" s="24" t="n">
        <v>10</v>
      </c>
      <c r="B11" s="25" t="s">
        <v>495</v>
      </c>
      <c r="C11" s="26" t="s">
        <v>496</v>
      </c>
      <c r="D11" s="4" t="s">
        <v>497</v>
      </c>
      <c r="E11" s="27" t="s">
        <v>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2026-04-10T12:33:03Z</dcterms:created>
  <dc:creator>openpyxl</dc:creator>
  <dc:description/>
  <dc:language>en-US</dc:language>
  <cp:lastModifiedBy/>
  <dcterms:modified xsi:type="dcterms:W3CDTF">2026-04-10T12:33:03Z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