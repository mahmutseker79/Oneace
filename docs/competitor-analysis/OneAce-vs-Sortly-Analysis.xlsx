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Pricing Tiers" sheetId="2" state="visible" r:id="rId4"/>
    <sheet name="3. Feature Matrix" sheetId="3" state="visible" r:id="rId5"/>
    <sheet name="4. Roadmap Additions" sheetId="4" state="visible" r:id="rId6"/>
    <sheet name="5. Dropdown Valu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<sst xmlns="http://schemas.openxmlformats.org/spreadsheetml/2006/main" count="952" uniqueCount="567">
  <si>
    <t xml:space="preserve">SimplyCount vs Sortly — Competitor Analysis</t>
  </si>
  <si>
    <t xml:space="preserve">Analysis date: 2026-04-10 | Sortly version: v10.107.0-R216.0.0 | Source: Live exploration of app.sortly.com Free-tier demo</t>
  </si>
  <si>
    <t xml:space="preserve">One-line positioning</t>
  </si>
  <si>
    <t xml:space="preserve">Sortly is a photo-first, SMB-friendly visual inventory app for non-technical field/service teams. Lighter than inFlow (no manufacturing, no B2B, weak sales fulfilment), heavier on mobile scan UX and pretty item cards.</t>
  </si>
  <si>
    <t xml:space="preserve">Metric</t>
  </si>
  <si>
    <t xml:space="preserve">SimplyCount</t>
  </si>
  <si>
    <t xml:space="preserve">Sortly</t>
  </si>
  <si>
    <t xml:space="preserve">Takeaway</t>
  </si>
  <si>
    <t xml:space="preserve">Target customer</t>
  </si>
  <si>
    <t xml:space="preserve">SMB inventory teams</t>
  </si>
  <si>
    <t xml:space="preserve">Field service, schools, film props, construction, small warehouses</t>
  </si>
  <si>
    <t xml:space="preserve">Sortly is more niche/visual</t>
  </si>
  <si>
    <t xml:space="preserve">Free tier cap</t>
  </si>
  <si>
    <t xml:space="preserve">Generous</t>
  </si>
  <si>
    <t xml:space="preserve">100 items, 1 user, 1 custom field</t>
  </si>
  <si>
    <t xml:space="preserve">Sortly Free is effectively a trial</t>
  </si>
  <si>
    <t xml:space="preserve">Entry paid plan</t>
  </si>
  <si>
    <t xml:space="preserve">TBD</t>
  </si>
  <si>
    <t xml:space="preserve">$24/mo Advanced (2 users, 500 items, 5 CF)</t>
  </si>
  <si>
    <t xml:space="preserve">SC can undercut on CF count</t>
  </si>
  <si>
    <t xml:space="preserve">Most popular plan</t>
  </si>
  <si>
    <t xml:space="preserve">$74/mo Ultra (5 users, 2k items, 10 CF, POs, Pick Lists, Slack, Teams)</t>
  </si>
  <si>
    <t xml:space="preserve">Ultra is where Sortly makes money</t>
  </si>
  <si>
    <t xml:space="preserve">Enterprise</t>
  </si>
  <si>
    <t xml:space="preserve">Custom — 12+ users, unlimited CF, API, webhooks, SSO</t>
  </si>
  <si>
    <t xml:space="preserve">API is Enterprise-only — opportunity for SC</t>
  </si>
  <si>
    <t xml:space="preserve">Stock counting</t>
  </si>
  <si>
    <t xml:space="preserve">6 types incl. double-blind, directed routes</t>
  </si>
  <si>
    <t xml:space="preserve">Single-count wrapper over quantity edit</t>
  </si>
  <si>
    <t xml:space="preserve">SC CLEAR WIN</t>
  </si>
  <si>
    <t xml:space="preserve">Insights / narrative</t>
  </si>
  <si>
    <t xml:space="preserve">Insights engine (valuation, trends, anomalies)</t>
  </si>
  <si>
    <t xml:space="preserve">Reports only — tabular</t>
  </si>
  <si>
    <t xml:space="preserve">Custom fields</t>
  </si>
  <si>
    <t xml:space="preserve">Many types, generous caps</t>
  </si>
  <si>
    <t xml:space="preserve">12 types, 1-field cap on Free</t>
  </si>
  <si>
    <t xml:space="preserve">Slack / Teams notifications</t>
  </si>
  <si>
    <t xml:space="preserve">Free tier</t>
  </si>
  <si>
    <t xml:space="preserve">Ultra plan ($74/mo)</t>
  </si>
  <si>
    <t xml:space="preserve">Expiration / date tracking</t>
  </si>
  <si>
    <t xml:space="preserve">Native</t>
  </si>
  <si>
    <t xml:space="preserve">Via paid date custom field</t>
  </si>
  <si>
    <t xml:space="preserve">Purchase Orders</t>
  </si>
  <si>
    <t xml:space="preserve">Missing</t>
  </si>
  <si>
    <t xml:space="preserve">Ultra plan — NEW</t>
  </si>
  <si>
    <t xml:space="preserve">SC GAP — HIGH PRIORITY</t>
  </si>
  <si>
    <t xml:space="preserve">Pick Lists / internal fulfilment</t>
  </si>
  <si>
    <t xml:space="preserve">SC GAP — MEDIUM PRIORITY</t>
  </si>
  <si>
    <t xml:space="preserve">QuickBooks Online</t>
  </si>
  <si>
    <t xml:space="preserve">Premium plan</t>
  </si>
  <si>
    <t xml:space="preserve">Photo-first item cards</t>
  </si>
  <si>
    <t xml:space="preserve">Text-first</t>
  </si>
  <si>
    <t xml:space="preserve">Industry-leading</t>
  </si>
  <si>
    <t xml:space="preserve">SC GAP — polish opportunity</t>
  </si>
  <si>
    <t xml:space="preserve">Advanced search (13+ filters)</t>
  </si>
  <si>
    <t xml:space="preserve">Basic</t>
  </si>
  <si>
    <t xml:space="preserve">Excellent — folders/qty/price/tags/SID/custom</t>
  </si>
  <si>
    <t xml:space="preserve">SC GAP — filter parity</t>
  </si>
  <si>
    <t xml:space="preserve">Create Labels designer</t>
  </si>
  <si>
    <t xml:space="preserve">Dedicated QR/barcode layout tool</t>
  </si>
  <si>
    <t xml:space="preserve">SC GAP — LOW PRIORITY</t>
  </si>
  <si>
    <t xml:space="preserve">Public REST API</t>
  </si>
  <si>
    <t xml:space="preserve">Enterprise-only</t>
  </si>
  <si>
    <t xml:space="preserve">OPPORTUNITY — differentiation wedge</t>
  </si>
  <si>
    <t xml:space="preserve">Webhooks</t>
  </si>
  <si>
    <t xml:space="preserve">AI assistant</t>
  </si>
  <si>
    <t xml:space="preserve">Sage — docs bot only, not agentic</t>
  </si>
  <si>
    <t xml:space="preserve">OPPORTUNITY — SC agent could leap past</t>
  </si>
  <si>
    <t xml:space="preserve">Multi-language UI</t>
  </si>
  <si>
    <t xml:space="preserve">TR, EN, etc.</t>
  </si>
  <si>
    <t xml:space="preserve">English only</t>
  </si>
  <si>
    <t xml:space="preserve">OPPORTUNITY — TR/EU market wedge</t>
  </si>
  <si>
    <t xml:space="preserve">Overall parity score</t>
  </si>
  <si>
    <t xml:space="preserve">100%</t>
  </si>
  <si>
    <t xml:space="preserve">~65% of SC capabilities; SC at ~65% of Sortly</t>
  </si>
  <si>
    <t xml:space="preserve">SC closer to Sortly than inFlow (~50%)</t>
  </si>
  <si>
    <t xml:space="preserve">Sortly — Pricing Tier Matrix</t>
  </si>
  <si>
    <t xml:space="preserve">Source: live /upgrade-plan page (verified 2026-04-10). Yearly prices shown; monthly billing is 2x. "Save 50%" banner = first-year intro only; 20% thereafter.</t>
  </si>
  <si>
    <t xml:space="preserve">Dimension</t>
  </si>
  <si>
    <t xml:space="preserve">Free</t>
  </si>
  <si>
    <t xml:space="preserve">Advanced</t>
  </si>
  <si>
    <t xml:space="preserve">Ultra (★ Most Popular)</t>
  </si>
  <si>
    <t xml:space="preserve">Premium</t>
  </si>
  <si>
    <t xml:space="preserve">SC opportunity</t>
  </si>
  <si>
    <t xml:space="preserve">Monthly price (yearly billing)</t>
  </si>
  <si>
    <t xml:space="preserve">$0</t>
  </si>
  <si>
    <t xml:space="preserve">$24/mo</t>
  </si>
  <si>
    <t xml:space="preserve">$74/mo</t>
  </si>
  <si>
    <t xml:space="preserve">$149/mo</t>
  </si>
  <si>
    <t xml:space="preserve">Custom</t>
  </si>
  <si>
    <t xml:space="preserve">SC can undercut with generous Free</t>
  </si>
  <si>
    <t xml:space="preserve">Annual total</t>
  </si>
  <si>
    <t xml:space="preserve">$288</t>
  </si>
  <si>
    <t xml:space="preserve">$888</t>
  </si>
  <si>
    <t xml:space="preserve">$1,788</t>
  </si>
  <si>
    <t xml:space="preserve">—</t>
  </si>
  <si>
    <t xml:space="preserve">User seats</t>
  </si>
  <si>
    <t xml:space="preserve">1</t>
  </si>
  <si>
    <t xml:space="preserve">2</t>
  </si>
  <si>
    <t xml:space="preserve">5</t>
  </si>
  <si>
    <t xml:space="preserve">8</t>
  </si>
  <si>
    <t xml:space="preserve">12+</t>
  </si>
  <si>
    <t xml:space="preserve">Median Sortly customer is a &lt;10-person field team</t>
  </si>
  <si>
    <t xml:space="preserve">Item cap</t>
  </si>
  <si>
    <t xml:space="preserve">100</t>
  </si>
  <si>
    <t xml:space="preserve">500</t>
  </si>
  <si>
    <t xml:space="preserve">2,000</t>
  </si>
  <si>
    <t xml:space="preserve">5,000</t>
  </si>
  <si>
    <t xml:space="preserve">10,000+</t>
  </si>
  <si>
    <t xml:space="preserve">100-item Free cap = effectively a trial</t>
  </si>
  <si>
    <t xml:space="preserve">Custom field cap</t>
  </si>
  <si>
    <t xml:space="preserve">10</t>
  </si>
  <si>
    <t xml:space="preserve">20</t>
  </si>
  <si>
    <t xml:space="preserve">Unlimited</t>
  </si>
  <si>
    <t xml:space="preserve">SC already undercuts; main monetisation axis</t>
  </si>
  <si>
    <t xml:space="preserve">Custom branding</t>
  </si>
  <si>
    <t xml:space="preserve">✅</t>
  </si>
  <si>
    <t xml:space="preserve">Unlimited QR labels</t>
  </si>
  <si>
    <t xml:space="preserve">Unlimited barcode labels</t>
  </si>
  <si>
    <t xml:space="preserve">Low-stock alerts &amp; reports</t>
  </si>
  <si>
    <t xml:space="preserve">SC ships free</t>
  </si>
  <si>
    <t xml:space="preserve">All Units of Measure unlocked</t>
  </si>
  <si>
    <t xml:space="preserve">Customizable user access</t>
  </si>
  <si>
    <t xml:space="preserve">Date-based notifications (via Date CF)</t>
  </si>
  <si>
    <t xml:space="preserve">SC ships free — CLEAR WIN</t>
  </si>
  <si>
    <t xml:space="preserve">Saved reports + subscriptions</t>
  </si>
  <si>
    <t xml:space="preserve">✅ (saved)</t>
  </si>
  <si>
    <t xml:space="preserve">✅ (+ email subs)</t>
  </si>
  <si>
    <t xml:space="preserve">User Activity Summary</t>
  </si>
  <si>
    <t xml:space="preserve">Move Summary report</t>
  </si>
  <si>
    <t xml:space="preserve">Item Flow report</t>
  </si>
  <si>
    <t xml:space="preserve">3rd-party scanner support</t>
  </si>
  <si>
    <t xml:space="preserve">Stock Counts</t>
  </si>
  <si>
    <t xml:space="preserve">SC ships free + 6 count types — CLEAR WIN</t>
  </si>
  <si>
    <t xml:space="preserve">Pick Lists (NEW)</t>
  </si>
  <si>
    <t xml:space="preserve">GAP — Phase 45 candidate</t>
  </si>
  <si>
    <t xml:space="preserve">Purchase Orders (NEW)</t>
  </si>
  <si>
    <t xml:space="preserve">GAP — Phase 41-44 candidate</t>
  </si>
  <si>
    <t xml:space="preserve">Slack integration</t>
  </si>
  <si>
    <t xml:space="preserve">Microsoft Teams integration</t>
  </si>
  <si>
    <t xml:space="preserve">GAP — Phase 51-53 candidate</t>
  </si>
  <si>
    <t xml:space="preserve">Customizable role permissions</t>
  </si>
  <si>
    <t xml:space="preserve">Priority email support</t>
  </si>
  <si>
    <t xml:space="preserve">OPPORTUNITY — wedge on mid-tier or Free</t>
  </si>
  <si>
    <t xml:space="preserve">SSO</t>
  </si>
  <si>
    <t xml:space="preserve">Dedicated CSM</t>
  </si>
  <si>
    <t xml:space="preserve">Multi-account access</t>
  </si>
  <si>
    <t xml:space="preserve">Guided inventory setup</t>
  </si>
  <si>
    <t xml:space="preserve">Team trainings</t>
  </si>
  <si>
    <t xml:space="preserve">SimplyCount ↔ Sortly — Feature Matrix</t>
  </si>
  <si>
    <t xml:space="preserve">Parity score: SC at ~65% of Sortly; Sortly at ~65% of SC. SC is closer to Sortly (~65%) than to inFlow (~50%).</t>
  </si>
  <si>
    <t xml:space="preserve">Category</t>
  </si>
  <si>
    <t xml:space="preserve">Capability</t>
  </si>
  <si>
    <t xml:space="preserve">Winner</t>
  </si>
  <si>
    <t xml:space="preserve">Notes</t>
  </si>
  <si>
    <t xml:space="preserve">Counting &amp; accuracy</t>
  </si>
  <si>
    <t xml:space="preserve">Stock counting (6 types: cycle/full/spot/blind/double-blind/directed)</t>
  </si>
  <si>
    <t xml:space="preserve">✅ Full</t>
  </si>
  <si>
    <t xml:space="preserve">⚠️ Single-count only</t>
  </si>
  <si>
    <t xml:space="preserve">SC</t>
  </si>
  <si>
    <t xml:space="preserve">Sortly gates Stock Counts behind Ultra ($74/mo) and ships only a 'multi-user wrapper over edit quantity'. SC's 6-mode engine is the #1 competitive moat.</t>
  </si>
  <si>
    <t xml:space="preserve">Double-blind counting</t>
  </si>
  <si>
    <t xml:space="preserve">❌</t>
  </si>
  <si>
    <t xml:space="preserve">Sortly does not ship true double-blind</t>
  </si>
  <si>
    <t xml:space="preserve">Directed route counting</t>
  </si>
  <si>
    <t xml:space="preserve">No explicit warehouse route optimisation in Sortly</t>
  </si>
  <si>
    <t xml:space="preserve">Insights &amp; reporting</t>
  </si>
  <si>
    <t xml:space="preserve">Insights engine (narrative, trend, anomaly)</t>
  </si>
  <si>
    <t xml:space="preserve">Sortly ships tabular reports only — no narrative layer</t>
  </si>
  <si>
    <t xml:space="preserve">Canned reports</t>
  </si>
  <si>
    <t xml:space="preserve">⚠️</t>
  </si>
  <si>
    <t xml:space="preserve">✅ 6 types</t>
  </si>
  <si>
    <t xml:space="preserve">Activity History, Inventory Summary, Transactions, Item Flow, Move Summary, User Activity</t>
  </si>
  <si>
    <t xml:space="preserve">Saved reports &amp; email subscriptions</t>
  </si>
  <si>
    <t xml:space="preserve">❓</t>
  </si>
  <si>
    <t xml:space="preserve">✅ Premium</t>
  </si>
  <si>
    <t xml:space="preserve">?</t>
  </si>
  <si>
    <t xml:space="preserve">Gated at $149/mo on Sortly</t>
  </si>
  <si>
    <t xml:space="preserve">Number of custom field types</t>
  </si>
  <si>
    <t xml:space="preserve">✅ More (incl. Formula, Multi-select)</t>
  </si>
  <si>
    <t xml:space="preserve">12 types</t>
  </si>
  <si>
    <t xml:space="preserve">Sortly has NO formula, NO multi-select, NO rating type</t>
  </si>
  <si>
    <t xml:space="preserve">Free-tier custom field cap</t>
  </si>
  <si>
    <t xml:space="preserve">✅ Generous</t>
  </si>
  <si>
    <t xml:space="preserve">⚠️ 1 field total</t>
  </si>
  <si>
    <t xml:space="preserve">Sortly Free cap = 1 custom field account-wide</t>
  </si>
  <si>
    <t xml:space="preserve">Formula / computed field</t>
  </si>
  <si>
    <t xml:space="preserve">SC unique capability</t>
  </si>
  <si>
    <t xml:space="preserve">Multi-select field</t>
  </si>
  <si>
    <t xml:space="preserve">Sortly Dropdown is single-select (250 option cap)</t>
  </si>
  <si>
    <t xml:space="preserve">Scanner / secondary-barcode field</t>
  </si>
  <si>
    <t xml:space="preserve">GAP — Phase 47.5 (cheap: reuses scan modal)</t>
  </si>
  <si>
    <t xml:space="preserve">File Attachment field</t>
  </si>
  <si>
    <t xml:space="preserve">⚠️ Ultra-gated</t>
  </si>
  <si>
    <t xml:space="preserve">Sortly paywalls File Attachment at Ultra</t>
  </si>
  <si>
    <t xml:space="preserve">Character limits exposed in UI</t>
  </si>
  <si>
    <t xml:space="preserve">Sortly shows 190 / 4000 / 250 option caps</t>
  </si>
  <si>
    <t xml:space="preserve">Item model</t>
  </si>
  <si>
    <t xml:space="preserve">⚠️ Text-first</t>
  </si>
  <si>
    <t xml:space="preserve">✅ Industry-leading</t>
  </si>
  <si>
    <t xml:space="preserve">Hardest thing to replicate without asset pipeline</t>
  </si>
  <si>
    <t xml:space="preserve">Folder/tree organisation</t>
  </si>
  <si>
    <t xml:space="preserve">Tie</t>
  </si>
  <si>
    <t xml:space="preserve">Both support recursive folders</t>
  </si>
  <si>
    <t xml:space="preserve">Mobile barcode scanning</t>
  </si>
  <si>
    <t xml:space="preserve">QR label designer (Create Labels)</t>
  </si>
  <si>
    <t xml:space="preserve">⚠️ Basic</t>
  </si>
  <si>
    <t xml:space="preserve">✅ Dedicated</t>
  </si>
  <si>
    <t xml:space="preserve">GAP — Phase 49</t>
  </si>
  <si>
    <t xml:space="preserve">Sortly ID / stable SID</t>
  </si>
  <si>
    <t xml:space="preserve">Separate from barcode; stable handle for import/API</t>
  </si>
  <si>
    <t xml:space="preserve">Cost vs Sell price split</t>
  </si>
  <si>
    <t xml:space="preserve">⚠️ Advanced+</t>
  </si>
  <si>
    <t xml:space="preserve">Single Price field on Sortly Free</t>
  </si>
  <si>
    <t xml:space="preserve">Return-to-Origin move shortcut</t>
  </si>
  <si>
    <t xml:space="preserve">⚠️ Ultra toggle</t>
  </si>
  <si>
    <t xml:space="preserve">Minor</t>
  </si>
  <si>
    <t xml:space="preserve">Search</t>
  </si>
  <si>
    <t xml:space="preserve">Advanced Search (13+ composable filters)</t>
  </si>
  <si>
    <t xml:space="preserve">✅ Excellent</t>
  </si>
  <si>
    <t xml:space="preserve">GAP — Phase 46-47; most defensible Sortly surface</t>
  </si>
  <si>
    <t xml:space="preserve">Group by SID (dedup rollup)</t>
  </si>
  <si>
    <t xml:space="preserve">Rolls up duplicate SIDs across folders</t>
  </si>
  <si>
    <t xml:space="preserve">Workflows</t>
  </si>
  <si>
    <t xml:space="preserve">✅ Ultra</t>
  </si>
  <si>
    <t xml:space="preserve">HIGH PRIORITY GAP — Phase 41-44</t>
  </si>
  <si>
    <t xml:space="preserve">Pick Lists (internal fulfilment)</t>
  </si>
  <si>
    <t xml:space="preserve">✅ Ultra (NEW)</t>
  </si>
  <si>
    <t xml:space="preserve">MEDIUM PRIORITY GAP — Phase 45</t>
  </si>
  <si>
    <t xml:space="preserve">Invoicing / sales fulfilment</t>
  </si>
  <si>
    <t xml:space="preserve">⚠️ Via QBO sync</t>
  </si>
  <si>
    <t xml:space="preserve">Sortly (weak)</t>
  </si>
  <si>
    <t xml:space="preserve">Alerts &amp; notifications</t>
  </si>
  <si>
    <t xml:space="preserve">Expiration / date-based tracking</t>
  </si>
  <si>
    <t xml:space="preserve">✅ Native</t>
  </si>
  <si>
    <t xml:space="preserve">⚠️ Ultra via Date CF</t>
  </si>
  <si>
    <t xml:space="preserve">Slack notifications</t>
  </si>
  <si>
    <t xml:space="preserve">✅ Free</t>
  </si>
  <si>
    <t xml:space="preserve">⚠️ Ultra</t>
  </si>
  <si>
    <t xml:space="preserve">5 event types on Sortly: create/update/move/delete/qty</t>
  </si>
  <si>
    <t xml:space="preserve">Microsoft Teams notifications</t>
  </si>
  <si>
    <t xml:space="preserve">Low-stock / min-level alerts</t>
  </si>
  <si>
    <t xml:space="preserve">Integrations</t>
  </si>
  <si>
    <t xml:space="preserve">GAP — Phase 51-53</t>
  </si>
  <si>
    <t xml:space="preserve">⚠️ Enterprise-only</t>
  </si>
  <si>
    <t xml:space="preserve">Opportunity</t>
  </si>
  <si>
    <t xml:space="preserve">SC free-tier API = differentiation wedge</t>
  </si>
  <si>
    <t xml:space="preserve">Same wedge</t>
  </si>
  <si>
    <t xml:space="preserve">Zapier / Make / n8n</t>
  </si>
  <si>
    <t xml:space="preserve">Admin &amp; settings</t>
  </si>
  <si>
    <t xml:space="preserve">Multiple business addresses</t>
  </si>
  <si>
    <t xml:space="preserve">User Access Control / roles</t>
  </si>
  <si>
    <t xml:space="preserve">Customizable role perms Premium+</t>
  </si>
  <si>
    <t xml:space="preserve">Units of Measure management</t>
  </si>
  <si>
    <t xml:space="preserve">✅ Advanced+</t>
  </si>
  <si>
    <t xml:space="preserve">Gated on Free; redirects to /user-profile</t>
  </si>
  <si>
    <t xml:space="preserve">Feature Controls toggle page</t>
  </si>
  <si>
    <t xml:space="preserve">Import / export</t>
  </si>
  <si>
    <t xml:space="preserve">Bulk import wizard</t>
  </si>
  <si>
    <t xml:space="preserve">✅ Quick + Advanced</t>
  </si>
  <si>
    <t xml:space="preserve">GAP — Phase 50 (Quick vs Advanced split)</t>
  </si>
  <si>
    <t xml:space="preserve">AI &amp; assistance</t>
  </si>
  <si>
    <t xml:space="preserve">⚠️ Sage (docs only)</t>
  </si>
  <si>
    <t xml:space="preserve">Agentic SC assistant = leap past Sage</t>
  </si>
  <si>
    <t xml:space="preserve">Collaboration</t>
  </si>
  <si>
    <t xml:space="preserve">Inventory-threaded chat</t>
  </si>
  <si>
    <t xml:space="preserve">⚠️ Labs Alpha (Threads)</t>
  </si>
  <si>
    <t xml:space="preserve">Phase 58+ — flank Sortly before they ship</t>
  </si>
  <si>
    <t xml:space="preserve">Platform</t>
  </si>
  <si>
    <t xml:space="preserve">⚠️ TR, EN, etc.</t>
  </si>
  <si>
    <t xml:space="preserve">❌ English only</t>
  </si>
  <si>
    <t xml:space="preserve">TR/MENA/EU market wedge</t>
  </si>
  <si>
    <t xml:space="preserve">Desktop-first</t>
  </si>
  <si>
    <t xml:space="preserve">Mobile app</t>
  </si>
  <si>
    <t xml:space="preserve">✅ Historically strong</t>
  </si>
  <si>
    <t xml:space="preserve">Not tested on Sortly in this walk</t>
  </si>
  <si>
    <t xml:space="preserve">UX polish</t>
  </si>
  <si>
    <t xml:space="preserve">Photo-centric grid/list toggle</t>
  </si>
  <si>
    <t xml:space="preserve">Phase 48 candidate</t>
  </si>
  <si>
    <t xml:space="preserve">Templated UpsellModal component</t>
  </si>
  <si>
    <t xml:space="preserve">Phase 50.5 — easy copy</t>
  </si>
  <si>
    <t xml:space="preserve">Suggested Fields picker (first-run)</t>
  </si>
  <si>
    <t xml:space="preserve">✅ 6 templates</t>
  </si>
  <si>
    <t xml:space="preserve">"New" / "Beta" / "Alpha" growth badges</t>
  </si>
  <si>
    <t xml:space="preserve">Free growth-marketing clicks</t>
  </si>
  <si>
    <t xml:space="preserve">Summary</t>
  </si>
  <si>
    <t xml:space="preserve">SC wins (clear)</t>
  </si>
  <si>
    <t xml:space="preserve">Stock counting engine, Insights, Custom field breadth, Free-tier Slack/Teams, Date-based alerts</t>
  </si>
  <si>
    <t xml:space="preserve">Sortly wins (gaps for SC)</t>
  </si>
  <si>
    <t xml:space="preserve">Photo-first cards, Advanced Search, Purchase Orders, Pick Lists, QBO, Create Labels, Bulk import wizard</t>
  </si>
  <si>
    <t xml:space="preserve">Ties</t>
  </si>
  <si>
    <t xml:space="preserve">Folders, mobile scanning, UoM, activity history</t>
  </si>
  <si>
    <t xml:space="preserve">Opportunities (neither)</t>
  </si>
  <si>
    <t xml:space="preserve">Public API, Webhooks, Agentic AI, Multi-language, Threaded chat</t>
  </si>
  <si>
    <t xml:space="preserve">Unknown (SC status TBD)</t>
  </si>
  <si>
    <t xml:space="preserve">Need SC feature audit to resolve</t>
  </si>
  <si>
    <t xml:space="preserve">Total rows</t>
  </si>
  <si>
    <t xml:space="preserve">SimplyCount Roadmap Additions — Derived from Sortly Teardown</t>
  </si>
  <si>
    <t xml:space="preserve">Ordered by ROI (impact ÷ effort). Phases continue from the inFlow teardown (which ended at Phase 40).</t>
  </si>
  <si>
    <t xml:space="preserve">Rank</t>
  </si>
  <si>
    <t xml:space="preserve">Phase</t>
  </si>
  <si>
    <t xml:space="preserve">Initiative</t>
  </si>
  <si>
    <t xml:space="preserve">Driver (from Sortly)</t>
  </si>
  <si>
    <t xml:space="preserve">Scope summary</t>
  </si>
  <si>
    <t xml:space="preserve">Effort</t>
  </si>
  <si>
    <t xml:space="preserve">Strategic note</t>
  </si>
  <si>
    <t xml:space="preserve">Phase 41-44</t>
  </si>
  <si>
    <t xml:space="preserve">Purchase Orders v1</t>
  </si>
  <si>
    <t xml:space="preserve">Ultra-gated workflow; #1 missing sales/buy-side verb (also flagged by inFlow)</t>
  </si>
  <si>
    <t xml:space="preserve">Supplier entity, PO header + line items, expected receive quantity, receive action that posts to inventory, PO status lifecycle</t>
  </si>
  <si>
    <t xml:space="preserve">Large (3-4 sprints)</t>
  </si>
  <si>
    <t xml:space="preserve">Single biggest parity unlock against both Sortly and inFlow</t>
  </si>
  <si>
    <t xml:space="preserve">Phase 45</t>
  </si>
  <si>
    <t xml:space="preserve">Ultra-gated workflow: "request → assign → pick → decrement"</t>
  </si>
  <si>
    <t xml:space="preserve">Pick list entity, line items, assignee, pick/confirm action, auto-decrement on completion</t>
  </si>
  <si>
    <t xml:space="preserve">Small (1-2 sprints)</t>
  </si>
  <si>
    <t xml:space="preserve">Cheap add on top of existing item+qty primitives</t>
  </si>
  <si>
    <t xml:space="preserve">Phase 46-47</t>
  </si>
  <si>
    <t xml:space="preserve">Advanced Search filter parity</t>
  </si>
  <si>
    <t xml:space="preserve">Sortly's 13-filter advanced-search builder is its most defensible surface</t>
  </si>
  <si>
    <t xml:space="preserve">Folders multi-select, Qty range, Min Level, Price range, Date alerts by CF, Tags, SID, Barcode, Notes, Custom filters, Group-by-SID rollup, saved searches</t>
  </si>
  <si>
    <t xml:space="preserve">Medium (2 sprints)</t>
  </si>
  <si>
    <t xml:space="preserve">Highest defensive impact per day of work</t>
  </si>
  <si>
    <t xml:space="preserve">Phase 47.5</t>
  </si>
  <si>
    <t xml:space="preserve">Scanner custom field type</t>
  </si>
  <si>
    <t xml:space="preserve">Sortly ships a "Scanner" type — secondary barcode support per item</t>
  </si>
  <si>
    <t xml:space="preserve">New CF type that triggers the existing scan modal on focus; persists scanned string; shows generated barcode preview</t>
  </si>
  <si>
    <t xml:space="preserve">Tiny (1-2 days)</t>
  </si>
  <si>
    <t xml:space="preserve">Cheap close of a Sortly-specific gap; unlocks multi-identifier items</t>
  </si>
  <si>
    <t xml:space="preserve">Phase 48</t>
  </si>
  <si>
    <t xml:space="preserve">Photo-centric item card mode</t>
  </si>
  <si>
    <t xml:space="preserve">Sortly's signature look; 60% photo, 40% text</t>
  </si>
  <si>
    <t xml:space="preserve">Alternate grid view with photo-hero cards, folder mosaics, grid/list toggle in items browser</t>
  </si>
  <si>
    <t xml:space="preserve">Small-medium</t>
  </si>
  <si>
    <t xml:space="preserve">Perceived-quality lift; matters for SMB word-of-mouth</t>
  </si>
  <si>
    <t xml:space="preserve">Phase 49</t>
  </si>
  <si>
    <t xml:space="preserve">Sortly's dedicated QR/barcode label layout tool (Advanced+)</t>
  </si>
  <si>
    <t xml:space="preserve">Multi-template label designer, CSV-driven bulk generation, PDF sheet export, Avery layouts</t>
  </si>
  <si>
    <t xml:space="preserve">Medium</t>
  </si>
  <si>
    <t xml:space="preserve">Sortly sells this at $24/mo — revenue opportunity for SC too</t>
  </si>
  <si>
    <t xml:space="preserve">Phase 50</t>
  </si>
  <si>
    <t xml:space="preserve">Quick-import wizard</t>
  </si>
  <si>
    <t xml:space="preserve">Sortly's Quick vs Advanced split makes first-run dramatically better</t>
  </si>
  <si>
    <t xml:space="preserve">4-step wizard (method → upload → map → review) with single-folder Quick mode and multi-folder Advanced mode</t>
  </si>
  <si>
    <t xml:space="preserve">Small</t>
  </si>
  <si>
    <t xml:space="preserve">First-run polish; reduces time-to-first-value</t>
  </si>
  <si>
    <t xml:space="preserve">Phase 50.5</t>
  </si>
  <si>
    <t xml:space="preserve">UpsellModal + Suggested Fields picker</t>
  </si>
  <si>
    <t xml:space="preserve">Sortly templatises paywalls into one component; uses Suggested Fields picker to bypass blank-page problem</t>
  </si>
  <si>
    <t xml:space="preserve">One UpsellModal primitive instanced per gated feature; Suggested Fields picker (Serial Number, Model, Purchase Date, Expiry Date, Product Link, Size templates)</t>
  </si>
  <si>
    <t xml:space="preserve">Tiny (1 sprint combined)</t>
  </si>
  <si>
    <t xml:space="preserve">Copy-paste UX wins; builds paywall muscle for future gating</t>
  </si>
  <si>
    <t xml:space="preserve">Phase 51-53</t>
  </si>
  <si>
    <t xml:space="preserve">QuickBooks Online integration</t>
  </si>
  <si>
    <t xml:space="preserve">Sortly gates this at Premium ($149/mo)</t>
  </si>
  <si>
    <t xml:space="preserve">QBO OAuth, sync chart of accounts, push POs/invoices, 2-way item sync</t>
  </si>
  <si>
    <t xml:space="preserve">Large</t>
  </si>
  <si>
    <t xml:space="preserve">Only ship once POs land; opens US SMB market</t>
  </si>
  <si>
    <t xml:space="preserve">Phase 54-55</t>
  </si>
  <si>
    <t xml:space="preserve">Public REST API + webhooks</t>
  </si>
  <si>
    <t xml:space="preserve">Sortly hard-gates both at Enterprise-only — wedge opportunity</t>
  </si>
  <si>
    <t xml:space="preserve">REST CRUD for items/folders/tags/counts/POs, API keys UI, webhook subscriptions with retries, OpenAPI spec</t>
  </si>
  <si>
    <t xml:space="preserve">Put on mid-tier (or even Free) to create a real differentiation wedge</t>
  </si>
  <si>
    <t xml:space="preserve">Phase 56+</t>
  </si>
  <si>
    <t xml:space="preserve">Agentic AI assistant</t>
  </si>
  <si>
    <t xml:space="preserve">Sortly Sage is a docs bot only — not agentic</t>
  </si>
  <si>
    <t xml:space="preserve">Agent that can run stock counts, open POs, answer shrinkage/anomaly questions, execute bulk edits via natural language</t>
  </si>
  <si>
    <t xml:space="preserve">Very large</t>
  </si>
  <si>
    <t xml:space="preserve">Leaps past Sage; platform-shaping bet</t>
  </si>
  <si>
    <t xml:space="preserve">Phase 57+</t>
  </si>
  <si>
    <t xml:space="preserve">Multi-language UI (TR, DE, ES, FR, AR)</t>
  </si>
  <si>
    <t xml:space="preserve">Sortly is English-only; demo user is Turkish and has to work in English</t>
  </si>
  <si>
    <t xml:space="preserve">i18n framework, translation pipeline, RTL layout for Arabic</t>
  </si>
  <si>
    <t xml:space="preserve">Marketing story more than a product one; TR/MENA/EU wedge</t>
  </si>
  <si>
    <t xml:space="preserve">Phase 58+</t>
  </si>
  <si>
    <t xml:space="preserve">Inventory-threaded chat (Threads clone)</t>
  </si>
  <si>
    <t xml:space="preserve">Sortly Labs has an alpha 'Threads' feature — flank before they ship</t>
  </si>
  <si>
    <t xml:space="preserve">Comment threads pinned to items/folders/counts, @mentions, notification hooks</t>
  </si>
  <si>
    <t xml:space="preserve">Matches Labs alpha; replaces Slack round-trip</t>
  </si>
  <si>
    <t xml:space="preserve">Sortly — Dropdown &amp; Picker Values (verified live)</t>
  </si>
  <si>
    <t xml:space="preserve">Every row was captured from the live Free-plan UI on 2026-04-10. Hint copy is verbatim from modal preview panes.</t>
  </si>
  <si>
    <t xml:space="preserve">§5.1 Custom field types (12 verified)</t>
  </si>
  <si>
    <t xml:space="preserve">#</t>
  </si>
  <si>
    <t xml:space="preserve">Type</t>
  </si>
  <si>
    <t xml:space="preserve">Free-plan?</t>
  </si>
  <si>
    <t xml:space="preserve">Hint copy (verbatim)</t>
  </si>
  <si>
    <t xml:space="preserve">Limits / notes</t>
  </si>
  <si>
    <t xml:space="preserve">Small Text Box</t>
  </si>
  <si>
    <t xml:space="preserve">(eg. Serial Number, Manufacturer Name, Customer ID, etc.)</t>
  </si>
  <si>
    <t xml:space="preserve">Character Limit 190</t>
  </si>
  <si>
    <t xml:space="preserve">Large Text Box</t>
  </si>
  <si>
    <t xml:space="preserve">(eg. Address, Status, Instructions, Notes, Details, etc.)</t>
  </si>
  <si>
    <t xml:space="preserve">Character Limit 4000</t>
  </si>
  <si>
    <t xml:space="preserve">Round Number</t>
  </si>
  <si>
    <t xml:space="preserve">numbers without decimals - eg. Quantity, Count, etc.</t>
  </si>
  <si>
    <t xml:space="preserve">Integer only</t>
  </si>
  <si>
    <t xml:space="preserve">Decimal Number</t>
  </si>
  <si>
    <t xml:space="preserve">numbers with decimals - eg. Cost, Selling price, Measurements like Area, Length, etc.</t>
  </si>
  <si>
    <t xml:space="preserve">Float</t>
  </si>
  <si>
    <t xml:space="preserve">Checkbox</t>
  </si>
  <si>
    <t xml:space="preserve">Yes or No status - eg. Damaged, Repaired, Lent, Sold, etc.</t>
  </si>
  <si>
    <t xml:space="preserve">Boolean</t>
  </si>
  <si>
    <t xml:space="preserve">Dropdown</t>
  </si>
  <si>
    <t xml:space="preserve">(Allows to select one option from a list)</t>
  </si>
  <si>
    <t xml:space="preserve">Options limit 250 — single-select, not multi-select</t>
  </si>
  <si>
    <t xml:space="preserve">Date</t>
  </si>
  <si>
    <t xml:space="preserve">eg. Expiry Date, Purchase Date, etc.</t>
  </si>
  <si>
    <t xml:space="preserve">Drives Ultra-tier date-based notifications when combined with Manage Alerts</t>
  </si>
  <si>
    <t xml:space="preserve">Scanner</t>
  </si>
  <si>
    <t xml:space="preserve">Scan and connect additional barcodes or QR codes</t>
  </si>
  <si>
    <t xml:space="preserve">Secondary-barcode field — triggers scan modal</t>
  </si>
  <si>
    <t xml:space="preserve">Phone Number</t>
  </si>
  <si>
    <t xml:space="preserve">eg. (123) 350 - 2345, +9144235423</t>
  </si>
  <si>
    <t xml:space="preserve">Formatted tel input</t>
  </si>
  <si>
    <t xml:space="preserve">Web Link</t>
  </si>
  <si>
    <t xml:space="preserve">eg. https://www.google.com</t>
  </si>
  <si>
    <t xml:space="preserve">URL only — no separate display label</t>
  </si>
  <si>
    <t xml:space="preserve">Email</t>
  </si>
  <si>
    <t xml:space="preserve">eg. mail@example.com</t>
  </si>
  <si>
    <t xml:space="preserve">Formatted email input</t>
  </si>
  <si>
    <t xml:space="preserve">File Attachment</t>
  </si>
  <si>
    <t xml:space="preserve">❌ Ultra-gated</t>
  </si>
  <si>
    <t xml:space="preserve">(Clicking this card triggers the Ultra upgrade modal)</t>
  </si>
  <si>
    <t xml:space="preserve">Confirmed live: fires Ultra paywall</t>
  </si>
  <si>
    <t xml:space="preserve">§5.2 Suggested Fields picker (6 first-run templates)</t>
  </si>
  <si>
    <t xml:space="preserve">Template</t>
  </si>
  <si>
    <t xml:space="preserve">Resolves to type</t>
  </si>
  <si>
    <t xml:space="preserve">Use case hinted</t>
  </si>
  <si>
    <t xml:space="preserve">SC parity</t>
  </si>
  <si>
    <t xml:space="preserve">Serial Number</t>
  </si>
  <si>
    <t xml:space="preserve">Per-item tracking ID</t>
  </si>
  <si>
    <t xml:space="preserve">SC should ship template</t>
  </si>
  <si>
    <t xml:space="preserve">Model/Part Number</t>
  </si>
  <si>
    <t xml:space="preserve">SKU-adjacent identifier</t>
  </si>
  <si>
    <t xml:space="preserve">Purchase Date</t>
  </si>
  <si>
    <t xml:space="preserve">Depreciation / warranty start</t>
  </si>
  <si>
    <t xml:space="preserve">Expiry Date</t>
  </si>
  <si>
    <t xml:space="preserve">Food, pharma, chemicals</t>
  </si>
  <si>
    <t xml:space="preserve">Product Link</t>
  </si>
  <si>
    <t xml:space="preserve">Vendor reorder URL</t>
  </si>
  <si>
    <t xml:space="preserve">Size</t>
  </si>
  <si>
    <t xml:space="preserve">Clothing / packaging</t>
  </si>
  <si>
    <t xml:space="preserve">§14 Company Details — localisation dropdowns</t>
  </si>
  <si>
    <t xml:space="preserve">Observed value</t>
  </si>
  <si>
    <t xml:space="preserve">Population</t>
  </si>
  <si>
    <t xml:space="preserve">Country</t>
  </si>
  <si>
    <t xml:space="preserve">Turkey</t>
  </si>
  <si>
    <t xml:space="preserve">Full ISO country list</t>
  </si>
  <si>
    <t xml:space="preserve">Drives Currency default</t>
  </si>
  <si>
    <t xml:space="preserve">Currency</t>
  </si>
  <si>
    <t xml:space="preserve">TRY</t>
  </si>
  <si>
    <t xml:space="preserve">Full ISO currency list</t>
  </si>
  <si>
    <t xml:space="preserve">Auto-inherited from Country, editable</t>
  </si>
  <si>
    <t xml:space="preserve">Timezone</t>
  </si>
  <si>
    <t xml:space="preserve">EST</t>
  </si>
  <si>
    <t xml:space="preserve">Full IANA timezone list</t>
  </si>
  <si>
    <t xml:space="preserve">Independent from Country — note the mismatch</t>
  </si>
  <si>
    <t xml:space="preserve">Date format</t>
  </si>
  <si>
    <t xml:space="preserve">European (DD/MM/YYYY)</t>
  </si>
  <si>
    <t xml:space="preserve">European / US / ISO</t>
  </si>
  <si>
    <t xml:space="preserve">Affects all date displays</t>
  </si>
  <si>
    <t xml:space="preserve">§17.2 User Profile — fields</t>
  </si>
  <si>
    <t xml:space="preserve">Block</t>
  </si>
  <si>
    <t xml:space="preserve">Field</t>
  </si>
  <si>
    <t xml:space="preserve">Personal Information</t>
  </si>
  <si>
    <t xml:space="preserve">First Name</t>
  </si>
  <si>
    <t xml:space="preserve">Text</t>
  </si>
  <si>
    <t xml:space="preserve">Required</t>
  </si>
  <si>
    <t xml:space="preserve">Last Name</t>
  </si>
  <si>
    <t xml:space="preserve">Used for login</t>
  </si>
  <si>
    <t xml:space="preserve">Phone</t>
  </si>
  <si>
    <t xml:space="preserve">Optional</t>
  </si>
  <si>
    <t xml:space="preserve">Job Function</t>
  </si>
  <si>
    <t xml:space="preserve">Placeholder "Enter your Job Function"</t>
  </si>
  <si>
    <t xml:space="preserve">Job Title</t>
  </si>
  <si>
    <t xml:space="preserve">Placeholder "Select your Job Title..."</t>
  </si>
  <si>
    <t xml:space="preserve">Change Password</t>
  </si>
  <si>
    <t xml:space="preserve">Current Password</t>
  </si>
  <si>
    <t xml:space="preserve">Password</t>
  </si>
  <si>
    <t xml:space="preserve">New Password</t>
  </si>
  <si>
    <t xml:space="preserve">Linked Accounts</t>
  </si>
  <si>
    <t xml:space="preserve">Google</t>
  </si>
  <si>
    <t xml:space="preserve">OAuth link</t>
  </si>
  <si>
    <t xml:space="preserve">Status: Not Connected / Link</t>
  </si>
  <si>
    <t xml:space="preserve">Apple ID</t>
  </si>
  <si>
    <t xml:space="preserve">Status: 7ky5j4b2d6@privaterelay.appleid.com / Unlink</t>
  </si>
  <si>
    <t xml:space="preserve">§17.2 Labs page — filter dropdowns</t>
  </si>
  <si>
    <t xml:space="preserve">Filter</t>
  </si>
  <si>
    <t xml:space="preserve">Value</t>
  </si>
  <si>
    <t xml:space="preserve">Meaning</t>
  </si>
  <si>
    <t xml:space="preserve">Observed feature</t>
  </si>
  <si>
    <t xml:space="preserve">Stage</t>
  </si>
  <si>
    <t xml:space="preserve">Alpha</t>
  </si>
  <si>
    <t xml:space="preserve">Earliest opt-in experimental feature</t>
  </si>
  <si>
    <t xml:space="preserve">Threads</t>
  </si>
  <si>
    <t xml:space="preserve">Beta</t>
  </si>
  <si>
    <t xml:space="preserve">Stable-ish opt-in experimental feature</t>
  </si>
  <si>
    <t xml:space="preserve">(none currently shown)</t>
  </si>
  <si>
    <t xml:space="preserve">Experimental</t>
  </si>
  <si>
    <t xml:space="preserve">Unstable tech preview</t>
  </si>
  <si>
    <t xml:space="preserve">Status</t>
  </si>
  <si>
    <t xml:space="preserve">Enabled</t>
  </si>
  <si>
    <t xml:space="preserve">User has opted in</t>
  </si>
  <si>
    <t xml:space="preserve">Disabled</t>
  </si>
  <si>
    <t xml:space="preserve">Default / opted out</t>
  </si>
  <si>
    <t xml:space="preserve">Threads (default state)</t>
  </si>
  <si>
    <t xml:space="preserve">§4.1 Items page — top actions and toggles</t>
  </si>
  <si>
    <t xml:space="preserve">Control</t>
  </si>
  <si>
    <t xml:space="preserve">Values</t>
  </si>
  <si>
    <t xml:space="preserve">Default</t>
  </si>
  <si>
    <t xml:space="preserve">View mode toggle</t>
  </si>
  <si>
    <t xml:space="preserve">Grid / List</t>
  </si>
  <si>
    <t xml:space="preserve">Grid</t>
  </si>
  <si>
    <t xml:space="preserve">Grid is photo-first; List is denser</t>
  </si>
  <si>
    <t xml:space="preserve">Group Items toggle</t>
  </si>
  <si>
    <t xml:space="preserve">On / Off</t>
  </si>
  <si>
    <t xml:space="preserve">Off</t>
  </si>
  <si>
    <t xml:space="preserve">Rolls up items with same Sortly ID</t>
  </si>
  <si>
    <t xml:space="preserve">Show on item page (CF settings)</t>
  </si>
  <si>
    <t xml:space="preserve">Populated Fields / All Fields</t>
  </si>
  <si>
    <t xml:space="preserve">Populated Fields</t>
  </si>
  <si>
    <t xml:space="preserve">Controls which CFs render on item detail</t>
  </si>
  <si>
    <t xml:space="preserve">Add Item / Add Folder</t>
  </si>
  <si>
    <t xml:space="preserve">button</t>
  </si>
  <si>
    <t xml:space="preserve">Primary blue CTAs top-right</t>
  </si>
  <si>
    <t xml:space="preserve">Bulk Import</t>
  </si>
  <si>
    <t xml:space="preserve">link → /bulk-item-import</t>
  </si>
  <si>
    <t xml:space="preserve">4-step wizard</t>
  </si>
  <si>
    <t xml:space="preserve">History / Trash</t>
  </si>
  <si>
    <t xml:space="preserve">links</t>
  </si>
  <si>
    <t xml:space="preserve">Recycle bin and activity</t>
  </si>
  <si>
    <t xml:space="preserve">Search All Items</t>
  </si>
  <si>
    <t xml:space="preserve">free text</t>
  </si>
  <si>
    <t xml:space="preserve">Scoped to current folder tree</t>
  </si>
  <si>
    <t xml:space="preserve">§12 Slack / Teams notification event dropdowns</t>
  </si>
  <si>
    <t xml:space="preserve">Event</t>
  </si>
  <si>
    <t xml:space="preserve">Plan</t>
  </si>
  <si>
    <t xml:space="preserve">Payload</t>
  </si>
  <si>
    <t xml:space="preserve">Create item</t>
  </si>
  <si>
    <t xml:space="preserve">Ultra</t>
  </si>
  <si>
    <t xml:space="preserve">Item name, folder, user, timestamp</t>
  </si>
  <si>
    <t xml:space="preserve">Update item</t>
  </si>
  <si>
    <t xml:space="preserve">Field-level diff</t>
  </si>
  <si>
    <t xml:space="preserve">Move item</t>
  </si>
  <si>
    <t xml:space="preserve">From folder → To folder</t>
  </si>
  <si>
    <t xml:space="preserve">Delete item</t>
  </si>
  <si>
    <t xml:space="preserve">Item snapshot, user</t>
  </si>
  <si>
    <t xml:space="preserve">Update quantity</t>
  </si>
  <si>
    <t xml:space="preserve">Before → After, reason</t>
  </si>
  <si>
    <t xml:space="preserve">§9 Reports — 6 canned types</t>
  </si>
  <si>
    <t xml:space="preserve">Report</t>
  </si>
  <si>
    <t xml:space="preserve">Purpose</t>
  </si>
  <si>
    <t xml:space="preserve">Free?</t>
  </si>
  <si>
    <t xml:space="preserve">Activity History</t>
  </si>
  <si>
    <t xml:space="preserve">All user changes to items/folders/tags — audit trail</t>
  </si>
  <si>
    <t xml:space="preserve">Tabular; export to CSV/PDF</t>
  </si>
  <si>
    <t xml:space="preserve">Inventory Summary</t>
  </si>
  <si>
    <t xml:space="preserve">Quantity, value, location at a glance</t>
  </si>
  <si>
    <t xml:space="preserve">❌ Ultra</t>
  </si>
  <si>
    <t xml:space="preserve">Gated</t>
  </si>
  <si>
    <t xml:space="preserve">Transactions</t>
  </si>
  <si>
    <t xml:space="preserve">All inventory movements/updates/deletions</t>
  </si>
  <si>
    <t xml:space="preserve">Item Flow</t>
  </si>
  <si>
    <t xml:space="preserve">Quantity fluctuations over time with flexible filters</t>
  </si>
  <si>
    <t xml:space="preserve">Move Summary</t>
  </si>
  <si>
    <t xml:space="preserve">Folder-to-folder movements in a time frame</t>
  </si>
  <si>
    <t xml:space="preserve">Per-user action counts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</si>
</sst>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BDD7EE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BDD7EE"/>
        <bgColor rgb="FFD9E1F2"/>
      </patternFill>
    </fill>
    <fill>
      <patternFill patternType="solid">
        <fgColor rgb="FFFFEB9C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3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45" hidden="false" customHeight="true" outlineLevel="0" collapsed="false">
      <c r="A5" s="4" t="s">
        <v>3</v>
      </c>
      <c r="B5" s="4"/>
      <c r="C5" s="4"/>
      <c r="D5" s="4"/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</row>
    <row r="8" customFormat="false" ht="30" hidden="false" customHeight="true" outlineLevel="0" collapsed="false">
      <c r="A8" s="6" t="s">
        <v>8</v>
      </c>
      <c r="B8" s="7" t="s">
        <v>9</v>
      </c>
      <c r="C8" s="7" t="s">
        <v>10</v>
      </c>
      <c r="D8" s="7" t="s">
        <v>11</v>
      </c>
    </row>
    <row r="9" customFormat="false" ht="30" hidden="false" customHeight="true" outlineLevel="0" collapsed="false">
      <c r="A9" s="6" t="s">
        <v>12</v>
      </c>
      <c r="B9" s="7" t="s">
        <v>13</v>
      </c>
      <c r="C9" s="7" t="s">
        <v>14</v>
      </c>
      <c r="D9" s="7" t="s">
        <v>15</v>
      </c>
    </row>
    <row r="10" customFormat="false" ht="30" hidden="false" customHeight="true" outlineLevel="0" collapsed="false">
      <c r="A10" s="6" t="s">
        <v>16</v>
      </c>
      <c r="B10" s="7" t="s">
        <v>17</v>
      </c>
      <c r="C10" s="7" t="s">
        <v>18</v>
      </c>
      <c r="D10" s="7" t="s">
        <v>19</v>
      </c>
    </row>
    <row r="11" customFormat="false" ht="30" hidden="false" customHeight="true" outlineLevel="0" collapsed="false">
      <c r="A11" s="6" t="s">
        <v>20</v>
      </c>
      <c r="B11" s="7" t="s">
        <v>17</v>
      </c>
      <c r="C11" s="7" t="s">
        <v>21</v>
      </c>
      <c r="D11" s="7" t="s">
        <v>22</v>
      </c>
    </row>
    <row r="12" customFormat="false" ht="30" hidden="false" customHeight="true" outlineLevel="0" collapsed="false">
      <c r="A12" s="6" t="s">
        <v>23</v>
      </c>
      <c r="B12" s="7" t="s">
        <v>17</v>
      </c>
      <c r="C12" s="7" t="s">
        <v>24</v>
      </c>
      <c r="D12" s="7" t="s">
        <v>25</v>
      </c>
    </row>
    <row r="13" customFormat="false" ht="30" hidden="false" customHeight="true" outlineLevel="0" collapsed="false">
      <c r="A13" s="6" t="s">
        <v>26</v>
      </c>
      <c r="B13" s="7" t="s">
        <v>27</v>
      </c>
      <c r="C13" s="7" t="s">
        <v>28</v>
      </c>
      <c r="D13" s="8" t="s">
        <v>29</v>
      </c>
    </row>
    <row r="14" customFormat="false" ht="30" hidden="false" customHeight="true" outlineLevel="0" collapsed="false">
      <c r="A14" s="6" t="s">
        <v>30</v>
      </c>
      <c r="B14" s="7" t="s">
        <v>31</v>
      </c>
      <c r="C14" s="7" t="s">
        <v>32</v>
      </c>
      <c r="D14" s="8" t="s">
        <v>29</v>
      </c>
    </row>
    <row r="15" customFormat="false" ht="30" hidden="false" customHeight="true" outlineLevel="0" collapsed="false">
      <c r="A15" s="6" t="s">
        <v>33</v>
      </c>
      <c r="B15" s="7" t="s">
        <v>34</v>
      </c>
      <c r="C15" s="7" t="s">
        <v>35</v>
      </c>
      <c r="D15" s="8" t="s">
        <v>29</v>
      </c>
    </row>
    <row r="16" customFormat="false" ht="30" hidden="false" customHeight="true" outlineLevel="0" collapsed="false">
      <c r="A16" s="6" t="s">
        <v>36</v>
      </c>
      <c r="B16" s="7" t="s">
        <v>37</v>
      </c>
      <c r="C16" s="7" t="s">
        <v>38</v>
      </c>
      <c r="D16" s="8" t="s">
        <v>29</v>
      </c>
    </row>
    <row r="17" customFormat="false" ht="30" hidden="false" customHeight="true" outlineLevel="0" collapsed="false">
      <c r="A17" s="6" t="s">
        <v>39</v>
      </c>
      <c r="B17" s="7" t="s">
        <v>40</v>
      </c>
      <c r="C17" s="7" t="s">
        <v>41</v>
      </c>
      <c r="D17" s="8" t="s">
        <v>29</v>
      </c>
    </row>
    <row r="18" customFormat="false" ht="30" hidden="false" customHeight="true" outlineLevel="0" collapsed="false">
      <c r="A18" s="6" t="s">
        <v>42</v>
      </c>
      <c r="B18" s="7" t="s">
        <v>43</v>
      </c>
      <c r="C18" s="7" t="s">
        <v>44</v>
      </c>
      <c r="D18" s="9" t="s">
        <v>45</v>
      </c>
    </row>
    <row r="19" customFormat="false" ht="30" hidden="false" customHeight="true" outlineLevel="0" collapsed="false">
      <c r="A19" s="6" t="s">
        <v>46</v>
      </c>
      <c r="B19" s="7" t="s">
        <v>43</v>
      </c>
      <c r="C19" s="7" t="s">
        <v>44</v>
      </c>
      <c r="D19" s="9" t="s">
        <v>47</v>
      </c>
    </row>
    <row r="20" customFormat="false" ht="30" hidden="false" customHeight="true" outlineLevel="0" collapsed="false">
      <c r="A20" s="6" t="s">
        <v>48</v>
      </c>
      <c r="B20" s="7" t="s">
        <v>43</v>
      </c>
      <c r="C20" s="7" t="s">
        <v>49</v>
      </c>
      <c r="D20" s="9" t="s">
        <v>47</v>
      </c>
    </row>
    <row r="21" customFormat="false" ht="30" hidden="false" customHeight="true" outlineLevel="0" collapsed="false">
      <c r="A21" s="6" t="s">
        <v>50</v>
      </c>
      <c r="B21" s="7" t="s">
        <v>51</v>
      </c>
      <c r="C21" s="7" t="s">
        <v>52</v>
      </c>
      <c r="D21" s="9" t="s">
        <v>53</v>
      </c>
    </row>
    <row r="22" customFormat="false" ht="30" hidden="false" customHeight="true" outlineLevel="0" collapsed="false">
      <c r="A22" s="6" t="s">
        <v>54</v>
      </c>
      <c r="B22" s="7" t="s">
        <v>55</v>
      </c>
      <c r="C22" s="7" t="s">
        <v>56</v>
      </c>
      <c r="D22" s="9" t="s">
        <v>57</v>
      </c>
    </row>
    <row r="23" customFormat="false" ht="30" hidden="false" customHeight="true" outlineLevel="0" collapsed="false">
      <c r="A23" s="6" t="s">
        <v>58</v>
      </c>
      <c r="B23" s="7" t="s">
        <v>55</v>
      </c>
      <c r="C23" s="7" t="s">
        <v>59</v>
      </c>
      <c r="D23" s="9" t="s">
        <v>60</v>
      </c>
    </row>
    <row r="24" customFormat="false" ht="30" hidden="false" customHeight="true" outlineLevel="0" collapsed="false">
      <c r="A24" s="6" t="s">
        <v>61</v>
      </c>
      <c r="B24" s="7" t="s">
        <v>17</v>
      </c>
      <c r="C24" s="7" t="s">
        <v>62</v>
      </c>
      <c r="D24" s="10" t="s">
        <v>63</v>
      </c>
    </row>
    <row r="25" customFormat="false" ht="30" hidden="false" customHeight="true" outlineLevel="0" collapsed="false">
      <c r="A25" s="6" t="s">
        <v>64</v>
      </c>
      <c r="B25" s="7" t="s">
        <v>17</v>
      </c>
      <c r="C25" s="7" t="s">
        <v>62</v>
      </c>
      <c r="D25" s="10" t="s">
        <v>63</v>
      </c>
    </row>
    <row r="26" customFormat="false" ht="30" hidden="false" customHeight="true" outlineLevel="0" collapsed="false">
      <c r="A26" s="6" t="s">
        <v>65</v>
      </c>
      <c r="B26" s="7" t="s">
        <v>17</v>
      </c>
      <c r="C26" s="7" t="s">
        <v>66</v>
      </c>
      <c r="D26" s="10" t="s">
        <v>67</v>
      </c>
    </row>
    <row r="27" customFormat="false" ht="30" hidden="false" customHeight="true" outlineLevel="0" collapsed="false">
      <c r="A27" s="6" t="s">
        <v>68</v>
      </c>
      <c r="B27" s="7" t="s">
        <v>69</v>
      </c>
      <c r="C27" s="7" t="s">
        <v>70</v>
      </c>
      <c r="D27" s="10" t="s">
        <v>71</v>
      </c>
    </row>
    <row r="28" customFormat="false" ht="30" hidden="false" customHeight="true" outlineLevel="0" collapsed="false">
      <c r="A28" s="6" t="s">
        <v>72</v>
      </c>
      <c r="B28" s="7" t="s">
        <v>73</v>
      </c>
      <c r="C28" s="7" t="s">
        <v>74</v>
      </c>
      <c r="D28" s="7" t="s">
        <v>75</v>
      </c>
    </row>
  </sheetData>
  <mergeCells count="4">
    <mergeCell ref="A1:D1"/>
    <mergeCell ref="A2:D2"/>
    <mergeCell ref="A4:D4"/>
    <mergeCell ref="A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1" t="s">
        <v>76</v>
      </c>
      <c r="B1" s="11"/>
      <c r="C1" s="11"/>
      <c r="D1" s="11"/>
      <c r="E1" s="11"/>
      <c r="F1" s="11"/>
      <c r="G1" s="11"/>
    </row>
    <row r="2" customFormat="false" ht="30" hidden="false" customHeight="true" outlineLevel="0" collapsed="false">
      <c r="A2" s="12" t="s">
        <v>77</v>
      </c>
      <c r="B2" s="12"/>
      <c r="C2" s="12"/>
      <c r="D2" s="12"/>
      <c r="E2" s="12"/>
      <c r="F2" s="12"/>
      <c r="G2" s="12"/>
    </row>
    <row r="4" customFormat="false" ht="15" hidden="false" customHeight="false" outlineLevel="0" collapsed="false">
      <c r="A4" s="13" t="s">
        <v>78</v>
      </c>
      <c r="B4" s="13" t="s">
        <v>79</v>
      </c>
      <c r="C4" s="13" t="s">
        <v>80</v>
      </c>
      <c r="D4" s="13" t="s">
        <v>81</v>
      </c>
      <c r="E4" s="13" t="s">
        <v>82</v>
      </c>
      <c r="F4" s="13" t="s">
        <v>23</v>
      </c>
      <c r="G4" s="13" t="s">
        <v>83</v>
      </c>
    </row>
    <row r="5" customFormat="false" ht="15" hidden="false" customHeight="false" outlineLevel="0" collapsed="false">
      <c r="A5" s="14" t="s">
        <v>84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  <c r="G5" s="14" t="s">
        <v>90</v>
      </c>
    </row>
    <row r="6" customFormat="false" ht="15" hidden="false" customHeight="false" outlineLevel="0" collapsed="false">
      <c r="A6" s="14" t="s">
        <v>91</v>
      </c>
      <c r="B6" s="14" t="s">
        <v>85</v>
      </c>
      <c r="C6" s="14" t="s">
        <v>92</v>
      </c>
      <c r="D6" s="14" t="s">
        <v>93</v>
      </c>
      <c r="E6" s="14" t="s">
        <v>94</v>
      </c>
      <c r="F6" s="14" t="s">
        <v>89</v>
      </c>
      <c r="G6" s="14" t="s">
        <v>95</v>
      </c>
    </row>
    <row r="7" customFormat="false" ht="23.85" hidden="false" customHeight="false" outlineLevel="0" collapsed="false">
      <c r="A7" s="14" t="s">
        <v>96</v>
      </c>
      <c r="B7" s="14" t="s">
        <v>97</v>
      </c>
      <c r="C7" s="14" t="s">
        <v>98</v>
      </c>
      <c r="D7" s="14" t="s">
        <v>99</v>
      </c>
      <c r="E7" s="14" t="s">
        <v>100</v>
      </c>
      <c r="F7" s="14" t="s">
        <v>101</v>
      </c>
      <c r="G7" s="14" t="s">
        <v>102</v>
      </c>
    </row>
    <row r="8" customFormat="false" ht="15" hidden="false" customHeight="false" outlineLevel="0" collapsed="false">
      <c r="A8" s="14" t="s">
        <v>103</v>
      </c>
      <c r="B8" s="14" t="s">
        <v>104</v>
      </c>
      <c r="C8" s="14" t="s">
        <v>105</v>
      </c>
      <c r="D8" s="14" t="s">
        <v>106</v>
      </c>
      <c r="E8" s="14" t="s">
        <v>107</v>
      </c>
      <c r="F8" s="14" t="s">
        <v>108</v>
      </c>
      <c r="G8" s="14" t="s">
        <v>109</v>
      </c>
    </row>
    <row r="9" customFormat="false" ht="15" hidden="false" customHeight="false" outlineLevel="0" collapsed="false">
      <c r="A9" s="14" t="s">
        <v>110</v>
      </c>
      <c r="B9" s="14" t="s">
        <v>97</v>
      </c>
      <c r="C9" s="14" t="s">
        <v>99</v>
      </c>
      <c r="D9" s="14" t="s">
        <v>111</v>
      </c>
      <c r="E9" s="14" t="s">
        <v>112</v>
      </c>
      <c r="F9" s="14" t="s">
        <v>113</v>
      </c>
      <c r="G9" s="14" t="s">
        <v>114</v>
      </c>
    </row>
    <row r="10" customFormat="false" ht="15" hidden="false" customHeight="false" outlineLevel="0" collapsed="false">
      <c r="A10" s="14" t="s">
        <v>115</v>
      </c>
      <c r="B10" s="14" t="s">
        <v>95</v>
      </c>
      <c r="C10" s="14" t="s">
        <v>116</v>
      </c>
      <c r="D10" s="14" t="s">
        <v>116</v>
      </c>
      <c r="E10" s="14" t="s">
        <v>116</v>
      </c>
      <c r="F10" s="14" t="s">
        <v>116</v>
      </c>
      <c r="G10" s="14" t="s">
        <v>95</v>
      </c>
    </row>
    <row r="11" customFormat="false" ht="15" hidden="false" customHeight="false" outlineLevel="0" collapsed="false">
      <c r="A11" s="14" t="s">
        <v>117</v>
      </c>
      <c r="B11" s="14" t="s">
        <v>95</v>
      </c>
      <c r="C11" s="14" t="s">
        <v>116</v>
      </c>
      <c r="D11" s="14" t="s">
        <v>116</v>
      </c>
      <c r="E11" s="14" t="s">
        <v>116</v>
      </c>
      <c r="F11" s="14" t="s">
        <v>116</v>
      </c>
      <c r="G11" s="14" t="s">
        <v>95</v>
      </c>
    </row>
    <row r="12" customFormat="false" ht="15" hidden="false" customHeight="false" outlineLevel="0" collapsed="false">
      <c r="A12" s="14" t="s">
        <v>118</v>
      </c>
      <c r="B12" s="14" t="s">
        <v>95</v>
      </c>
      <c r="C12" s="14" t="s">
        <v>95</v>
      </c>
      <c r="D12" s="14" t="s">
        <v>116</v>
      </c>
      <c r="E12" s="14" t="s">
        <v>116</v>
      </c>
      <c r="F12" s="14" t="s">
        <v>116</v>
      </c>
      <c r="G12" s="14" t="s">
        <v>95</v>
      </c>
    </row>
    <row r="13" customFormat="false" ht="15" hidden="false" customHeight="false" outlineLevel="0" collapsed="false">
      <c r="A13" s="14" t="s">
        <v>119</v>
      </c>
      <c r="B13" s="14" t="s">
        <v>95</v>
      </c>
      <c r="C13" s="14" t="s">
        <v>116</v>
      </c>
      <c r="D13" s="14" t="s">
        <v>116</v>
      </c>
      <c r="E13" s="14" t="s">
        <v>116</v>
      </c>
      <c r="F13" s="14" t="s">
        <v>116</v>
      </c>
      <c r="G13" s="14" t="s">
        <v>120</v>
      </c>
    </row>
    <row r="14" customFormat="false" ht="15" hidden="false" customHeight="false" outlineLevel="0" collapsed="false">
      <c r="A14" s="14" t="s">
        <v>121</v>
      </c>
      <c r="B14" s="14" t="s">
        <v>95</v>
      </c>
      <c r="C14" s="14" t="s">
        <v>116</v>
      </c>
      <c r="D14" s="14" t="s">
        <v>116</v>
      </c>
      <c r="E14" s="14" t="s">
        <v>116</v>
      </c>
      <c r="F14" s="14" t="s">
        <v>116</v>
      </c>
      <c r="G14" s="14" t="s">
        <v>120</v>
      </c>
    </row>
    <row r="15" customFormat="false" ht="15" hidden="false" customHeight="false" outlineLevel="0" collapsed="false">
      <c r="A15" s="14" t="s">
        <v>122</v>
      </c>
      <c r="B15" s="14" t="s">
        <v>95</v>
      </c>
      <c r="C15" s="14" t="s">
        <v>116</v>
      </c>
      <c r="D15" s="14" t="s">
        <v>116</v>
      </c>
      <c r="E15" s="14" t="s">
        <v>116</v>
      </c>
      <c r="F15" s="14" t="s">
        <v>116</v>
      </c>
      <c r="G15" s="14" t="s">
        <v>95</v>
      </c>
    </row>
    <row r="16" customFormat="false" ht="15" hidden="false" customHeight="false" outlineLevel="0" collapsed="false">
      <c r="A16" s="14" t="s">
        <v>123</v>
      </c>
      <c r="B16" s="14" t="s">
        <v>95</v>
      </c>
      <c r="C16" s="14" t="s">
        <v>95</v>
      </c>
      <c r="D16" s="14" t="s">
        <v>116</v>
      </c>
      <c r="E16" s="14" t="s">
        <v>116</v>
      </c>
      <c r="F16" s="14" t="s">
        <v>116</v>
      </c>
      <c r="G16" s="14" t="s">
        <v>124</v>
      </c>
    </row>
    <row r="17" customFormat="false" ht="15" hidden="false" customHeight="false" outlineLevel="0" collapsed="false">
      <c r="A17" s="14" t="s">
        <v>125</v>
      </c>
      <c r="B17" s="14" t="s">
        <v>95</v>
      </c>
      <c r="C17" s="14" t="s">
        <v>95</v>
      </c>
      <c r="D17" s="14" t="s">
        <v>126</v>
      </c>
      <c r="E17" s="14" t="s">
        <v>127</v>
      </c>
      <c r="F17" s="14" t="s">
        <v>116</v>
      </c>
      <c r="G17" s="14" t="s">
        <v>95</v>
      </c>
    </row>
    <row r="18" customFormat="false" ht="15" hidden="false" customHeight="false" outlineLevel="0" collapsed="false">
      <c r="A18" s="14" t="s">
        <v>128</v>
      </c>
      <c r="B18" s="14" t="s">
        <v>95</v>
      </c>
      <c r="C18" s="14" t="s">
        <v>95</v>
      </c>
      <c r="D18" s="14" t="s">
        <v>116</v>
      </c>
      <c r="E18" s="14" t="s">
        <v>116</v>
      </c>
      <c r="F18" s="14" t="s">
        <v>116</v>
      </c>
      <c r="G18" s="14" t="s">
        <v>95</v>
      </c>
    </row>
    <row r="19" customFormat="false" ht="15" hidden="false" customHeight="false" outlineLevel="0" collapsed="false">
      <c r="A19" s="14" t="s">
        <v>129</v>
      </c>
      <c r="B19" s="14" t="s">
        <v>95</v>
      </c>
      <c r="C19" s="14" t="s">
        <v>95</v>
      </c>
      <c r="D19" s="14" t="s">
        <v>116</v>
      </c>
      <c r="E19" s="14" t="s">
        <v>116</v>
      </c>
      <c r="F19" s="14" t="s">
        <v>116</v>
      </c>
      <c r="G19" s="14" t="s">
        <v>95</v>
      </c>
    </row>
    <row r="20" customFormat="false" ht="15" hidden="false" customHeight="false" outlineLevel="0" collapsed="false">
      <c r="A20" s="14" t="s">
        <v>130</v>
      </c>
      <c r="B20" s="14" t="s">
        <v>95</v>
      </c>
      <c r="C20" s="14" t="s">
        <v>95</v>
      </c>
      <c r="D20" s="14" t="s">
        <v>116</v>
      </c>
      <c r="E20" s="14" t="s">
        <v>116</v>
      </c>
      <c r="F20" s="14" t="s">
        <v>116</v>
      </c>
      <c r="G20" s="14" t="s">
        <v>95</v>
      </c>
    </row>
    <row r="21" customFormat="false" ht="15" hidden="false" customHeight="false" outlineLevel="0" collapsed="false">
      <c r="A21" s="14" t="s">
        <v>131</v>
      </c>
      <c r="B21" s="14" t="s">
        <v>95</v>
      </c>
      <c r="C21" s="14" t="s">
        <v>95</v>
      </c>
      <c r="D21" s="14" t="s">
        <v>116</v>
      </c>
      <c r="E21" s="14" t="s">
        <v>116</v>
      </c>
      <c r="F21" s="14" t="s">
        <v>116</v>
      </c>
      <c r="G21" s="14" t="s">
        <v>95</v>
      </c>
    </row>
    <row r="22" customFormat="false" ht="15" hidden="false" customHeight="false" outlineLevel="0" collapsed="false">
      <c r="A22" s="14" t="s">
        <v>132</v>
      </c>
      <c r="B22" s="14" t="s">
        <v>95</v>
      </c>
      <c r="C22" s="14" t="s">
        <v>95</v>
      </c>
      <c r="D22" s="14" t="s">
        <v>116</v>
      </c>
      <c r="E22" s="14" t="s">
        <v>116</v>
      </c>
      <c r="F22" s="14" t="s">
        <v>116</v>
      </c>
      <c r="G22" s="14" t="s">
        <v>133</v>
      </c>
    </row>
    <row r="23" customFormat="false" ht="15" hidden="false" customHeight="false" outlineLevel="0" collapsed="false">
      <c r="A23" s="14" t="s">
        <v>134</v>
      </c>
      <c r="B23" s="14" t="s">
        <v>95</v>
      </c>
      <c r="C23" s="14" t="s">
        <v>95</v>
      </c>
      <c r="D23" s="14" t="s">
        <v>116</v>
      </c>
      <c r="E23" s="14" t="s">
        <v>116</v>
      </c>
      <c r="F23" s="14" t="s">
        <v>116</v>
      </c>
      <c r="G23" s="14" t="s">
        <v>135</v>
      </c>
    </row>
    <row r="24" customFormat="false" ht="15" hidden="false" customHeight="false" outlineLevel="0" collapsed="false">
      <c r="A24" s="14" t="s">
        <v>136</v>
      </c>
      <c r="B24" s="14" t="s">
        <v>95</v>
      </c>
      <c r="C24" s="14" t="s">
        <v>95</v>
      </c>
      <c r="D24" s="14" t="s">
        <v>116</v>
      </c>
      <c r="E24" s="14" t="s">
        <v>116</v>
      </c>
      <c r="F24" s="14" t="s">
        <v>116</v>
      </c>
      <c r="G24" s="14" t="s">
        <v>137</v>
      </c>
    </row>
    <row r="25" customFormat="false" ht="15" hidden="false" customHeight="false" outlineLevel="0" collapsed="false">
      <c r="A25" s="14" t="s">
        <v>138</v>
      </c>
      <c r="B25" s="14" t="s">
        <v>95</v>
      </c>
      <c r="C25" s="14" t="s">
        <v>95</v>
      </c>
      <c r="D25" s="14" t="s">
        <v>116</v>
      </c>
      <c r="E25" s="14" t="s">
        <v>116</v>
      </c>
      <c r="F25" s="14" t="s">
        <v>116</v>
      </c>
      <c r="G25" s="14" t="s">
        <v>124</v>
      </c>
    </row>
    <row r="26" customFormat="false" ht="15" hidden="false" customHeight="false" outlineLevel="0" collapsed="false">
      <c r="A26" s="14" t="s">
        <v>139</v>
      </c>
      <c r="B26" s="14" t="s">
        <v>95</v>
      </c>
      <c r="C26" s="14" t="s">
        <v>95</v>
      </c>
      <c r="D26" s="14" t="s">
        <v>116</v>
      </c>
      <c r="E26" s="14" t="s">
        <v>116</v>
      </c>
      <c r="F26" s="14" t="s">
        <v>116</v>
      </c>
      <c r="G26" s="14" t="s">
        <v>124</v>
      </c>
    </row>
    <row r="27" customFormat="false" ht="15" hidden="false" customHeight="false" outlineLevel="0" collapsed="false">
      <c r="A27" s="14" t="s">
        <v>48</v>
      </c>
      <c r="B27" s="14" t="s">
        <v>95</v>
      </c>
      <c r="C27" s="14" t="s">
        <v>95</v>
      </c>
      <c r="D27" s="14" t="s">
        <v>95</v>
      </c>
      <c r="E27" s="14" t="s">
        <v>116</v>
      </c>
      <c r="F27" s="14" t="s">
        <v>116</v>
      </c>
      <c r="G27" s="14" t="s">
        <v>140</v>
      </c>
    </row>
    <row r="28" customFormat="false" ht="15" hidden="false" customHeight="false" outlineLevel="0" collapsed="false">
      <c r="A28" s="14" t="s">
        <v>141</v>
      </c>
      <c r="B28" s="14" t="s">
        <v>95</v>
      </c>
      <c r="C28" s="14" t="s">
        <v>95</v>
      </c>
      <c r="D28" s="14" t="s">
        <v>95</v>
      </c>
      <c r="E28" s="14" t="s">
        <v>116</v>
      </c>
      <c r="F28" s="14" t="s">
        <v>116</v>
      </c>
      <c r="G28" s="14" t="s">
        <v>95</v>
      </c>
    </row>
    <row r="29" customFormat="false" ht="15" hidden="false" customHeight="false" outlineLevel="0" collapsed="false">
      <c r="A29" s="14" t="s">
        <v>142</v>
      </c>
      <c r="B29" s="14" t="s">
        <v>95</v>
      </c>
      <c r="C29" s="14" t="s">
        <v>95</v>
      </c>
      <c r="D29" s="14" t="s">
        <v>95</v>
      </c>
      <c r="E29" s="14" t="s">
        <v>116</v>
      </c>
      <c r="F29" s="14" t="s">
        <v>116</v>
      </c>
      <c r="G29" s="14" t="s">
        <v>95</v>
      </c>
    </row>
    <row r="30" customFormat="false" ht="15" hidden="false" customHeight="false" outlineLevel="0" collapsed="false">
      <c r="A30" s="14" t="s">
        <v>61</v>
      </c>
      <c r="B30" s="14" t="s">
        <v>95</v>
      </c>
      <c r="C30" s="14" t="s">
        <v>95</v>
      </c>
      <c r="D30" s="14" t="s">
        <v>95</v>
      </c>
      <c r="E30" s="14" t="s">
        <v>95</v>
      </c>
      <c r="F30" s="14" t="s">
        <v>116</v>
      </c>
      <c r="G30" s="14" t="s">
        <v>143</v>
      </c>
    </row>
    <row r="31" customFormat="false" ht="15" hidden="false" customHeight="false" outlineLevel="0" collapsed="false">
      <c r="A31" s="14" t="s">
        <v>64</v>
      </c>
      <c r="B31" s="14" t="s">
        <v>95</v>
      </c>
      <c r="C31" s="14" t="s">
        <v>95</v>
      </c>
      <c r="D31" s="14" t="s">
        <v>95</v>
      </c>
      <c r="E31" s="14" t="s">
        <v>95</v>
      </c>
      <c r="F31" s="14" t="s">
        <v>116</v>
      </c>
      <c r="G31" s="14" t="s">
        <v>143</v>
      </c>
    </row>
    <row r="32" customFormat="false" ht="15" hidden="false" customHeight="false" outlineLevel="0" collapsed="false">
      <c r="A32" s="14" t="s">
        <v>144</v>
      </c>
      <c r="B32" s="14" t="s">
        <v>95</v>
      </c>
      <c r="C32" s="14" t="s">
        <v>95</v>
      </c>
      <c r="D32" s="14" t="s">
        <v>95</v>
      </c>
      <c r="E32" s="14" t="s">
        <v>95</v>
      </c>
      <c r="F32" s="14" t="s">
        <v>116</v>
      </c>
      <c r="G32" s="14" t="s">
        <v>95</v>
      </c>
    </row>
    <row r="33" customFormat="false" ht="15" hidden="false" customHeight="false" outlineLevel="0" collapsed="false">
      <c r="A33" s="14" t="s">
        <v>145</v>
      </c>
      <c r="B33" s="14" t="s">
        <v>95</v>
      </c>
      <c r="C33" s="14" t="s">
        <v>95</v>
      </c>
      <c r="D33" s="14" t="s">
        <v>95</v>
      </c>
      <c r="E33" s="14" t="s">
        <v>95</v>
      </c>
      <c r="F33" s="14" t="s">
        <v>116</v>
      </c>
      <c r="G33" s="14" t="s">
        <v>95</v>
      </c>
    </row>
    <row r="34" customFormat="false" ht="15" hidden="false" customHeight="false" outlineLevel="0" collapsed="false">
      <c r="A34" s="14" t="s">
        <v>146</v>
      </c>
      <c r="B34" s="14" t="s">
        <v>95</v>
      </c>
      <c r="C34" s="14" t="s">
        <v>95</v>
      </c>
      <c r="D34" s="14" t="s">
        <v>95</v>
      </c>
      <c r="E34" s="14" t="s">
        <v>95</v>
      </c>
      <c r="F34" s="14" t="s">
        <v>116</v>
      </c>
      <c r="G34" s="14" t="s">
        <v>95</v>
      </c>
    </row>
    <row r="35" customFormat="false" ht="15" hidden="false" customHeight="false" outlineLevel="0" collapsed="false">
      <c r="A35" s="14" t="s">
        <v>147</v>
      </c>
      <c r="B35" s="14" t="s">
        <v>95</v>
      </c>
      <c r="C35" s="14" t="s">
        <v>95</v>
      </c>
      <c r="D35" s="14" t="s">
        <v>95</v>
      </c>
      <c r="E35" s="14" t="s">
        <v>95</v>
      </c>
      <c r="F35" s="14" t="s">
        <v>116</v>
      </c>
      <c r="G35" s="14" t="s">
        <v>95</v>
      </c>
    </row>
    <row r="36" customFormat="false" ht="15" hidden="false" customHeight="false" outlineLevel="0" collapsed="false">
      <c r="A36" s="14" t="s">
        <v>148</v>
      </c>
      <c r="B36" s="14" t="s">
        <v>95</v>
      </c>
      <c r="C36" s="14" t="s">
        <v>95</v>
      </c>
      <c r="D36" s="14" t="s">
        <v>95</v>
      </c>
      <c r="E36" s="14" t="s">
        <v>95</v>
      </c>
      <c r="F36" s="14" t="s">
        <v>116</v>
      </c>
      <c r="G36" s="14" t="s">
        <v>95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4" min="3" style="0" width="30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19.7" hidden="false" customHeight="false" outlineLevel="0" collapsed="false">
      <c r="A1" s="11" t="s">
        <v>149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2" t="s">
        <v>150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13" t="s">
        <v>151</v>
      </c>
      <c r="B4" s="13" t="s">
        <v>152</v>
      </c>
      <c r="C4" s="13" t="s">
        <v>5</v>
      </c>
      <c r="D4" s="13" t="s">
        <v>6</v>
      </c>
      <c r="E4" s="13" t="s">
        <v>153</v>
      </c>
      <c r="F4" s="13" t="s">
        <v>154</v>
      </c>
    </row>
    <row r="5" customFormat="false" ht="35.05" hidden="false" customHeight="false" outlineLevel="0" collapsed="false">
      <c r="A5" s="14" t="s">
        <v>155</v>
      </c>
      <c r="B5" s="14" t="s">
        <v>156</v>
      </c>
      <c r="C5" s="14" t="s">
        <v>157</v>
      </c>
      <c r="D5" s="14" t="s">
        <v>158</v>
      </c>
      <c r="E5" s="15" t="s">
        <v>159</v>
      </c>
      <c r="F5" s="14" t="s">
        <v>160</v>
      </c>
    </row>
    <row r="6" customFormat="false" ht="15" hidden="false" customHeight="false" outlineLevel="0" collapsed="false">
      <c r="A6" s="14"/>
      <c r="B6" s="14" t="s">
        <v>161</v>
      </c>
      <c r="C6" s="14" t="s">
        <v>116</v>
      </c>
      <c r="D6" s="14" t="s">
        <v>162</v>
      </c>
      <c r="E6" s="15" t="s">
        <v>159</v>
      </c>
      <c r="F6" s="14" t="s">
        <v>163</v>
      </c>
    </row>
    <row r="7" customFormat="false" ht="15" hidden="false" customHeight="false" outlineLevel="0" collapsed="false">
      <c r="A7" s="14"/>
      <c r="B7" s="14" t="s">
        <v>164</v>
      </c>
      <c r="C7" s="14" t="s">
        <v>116</v>
      </c>
      <c r="D7" s="14" t="s">
        <v>162</v>
      </c>
      <c r="E7" s="15" t="s">
        <v>159</v>
      </c>
      <c r="F7" s="14" t="s">
        <v>165</v>
      </c>
    </row>
    <row r="8" customFormat="false" ht="15" hidden="false" customHeight="false" outlineLevel="0" collapsed="false">
      <c r="A8" s="14" t="s">
        <v>166</v>
      </c>
      <c r="B8" s="14" t="s">
        <v>167</v>
      </c>
      <c r="C8" s="14" t="s">
        <v>116</v>
      </c>
      <c r="D8" s="14" t="s">
        <v>162</v>
      </c>
      <c r="E8" s="15" t="s">
        <v>159</v>
      </c>
      <c r="F8" s="14" t="s">
        <v>168</v>
      </c>
    </row>
    <row r="9" customFormat="false" ht="23.85" hidden="false" customHeight="false" outlineLevel="0" collapsed="false">
      <c r="A9" s="14"/>
      <c r="B9" s="14" t="s">
        <v>169</v>
      </c>
      <c r="C9" s="14" t="s">
        <v>170</v>
      </c>
      <c r="D9" s="14" t="s">
        <v>171</v>
      </c>
      <c r="E9" s="16" t="s">
        <v>6</v>
      </c>
      <c r="F9" s="14" t="s">
        <v>172</v>
      </c>
    </row>
    <row r="10" customFormat="false" ht="15" hidden="false" customHeight="false" outlineLevel="0" collapsed="false">
      <c r="A10" s="14"/>
      <c r="B10" s="14" t="s">
        <v>173</v>
      </c>
      <c r="C10" s="14" t="s">
        <v>174</v>
      </c>
      <c r="D10" s="14" t="s">
        <v>175</v>
      </c>
      <c r="E10" s="14" t="s">
        <v>176</v>
      </c>
      <c r="F10" s="14" t="s">
        <v>177</v>
      </c>
    </row>
    <row r="11" customFormat="false" ht="15" hidden="false" customHeight="false" outlineLevel="0" collapsed="false">
      <c r="A11" s="14" t="s">
        <v>33</v>
      </c>
      <c r="B11" s="14" t="s">
        <v>178</v>
      </c>
      <c r="C11" s="14" t="s">
        <v>179</v>
      </c>
      <c r="D11" s="14" t="s">
        <v>180</v>
      </c>
      <c r="E11" s="15" t="s">
        <v>159</v>
      </c>
      <c r="F11" s="14" t="s">
        <v>181</v>
      </c>
    </row>
    <row r="12" customFormat="false" ht="15" hidden="false" customHeight="false" outlineLevel="0" collapsed="false">
      <c r="A12" s="14"/>
      <c r="B12" s="14" t="s">
        <v>182</v>
      </c>
      <c r="C12" s="14" t="s">
        <v>183</v>
      </c>
      <c r="D12" s="14" t="s">
        <v>184</v>
      </c>
      <c r="E12" s="15" t="s">
        <v>159</v>
      </c>
      <c r="F12" s="14" t="s">
        <v>185</v>
      </c>
    </row>
    <row r="13" customFormat="false" ht="15" hidden="false" customHeight="false" outlineLevel="0" collapsed="false">
      <c r="A13" s="14"/>
      <c r="B13" s="14" t="s">
        <v>186</v>
      </c>
      <c r="C13" s="14" t="s">
        <v>116</v>
      </c>
      <c r="D13" s="14" t="s">
        <v>162</v>
      </c>
      <c r="E13" s="15" t="s">
        <v>159</v>
      </c>
      <c r="F13" s="14" t="s">
        <v>187</v>
      </c>
    </row>
    <row r="14" customFormat="false" ht="15" hidden="false" customHeight="false" outlineLevel="0" collapsed="false">
      <c r="A14" s="14"/>
      <c r="B14" s="14" t="s">
        <v>188</v>
      </c>
      <c r="C14" s="14" t="s">
        <v>116</v>
      </c>
      <c r="D14" s="14" t="s">
        <v>162</v>
      </c>
      <c r="E14" s="15" t="s">
        <v>159</v>
      </c>
      <c r="F14" s="14" t="s">
        <v>189</v>
      </c>
    </row>
    <row r="15" customFormat="false" ht="15" hidden="false" customHeight="false" outlineLevel="0" collapsed="false">
      <c r="A15" s="14"/>
      <c r="B15" s="14" t="s">
        <v>190</v>
      </c>
      <c r="C15" s="14" t="s">
        <v>162</v>
      </c>
      <c r="D15" s="14" t="s">
        <v>116</v>
      </c>
      <c r="E15" s="16" t="s">
        <v>6</v>
      </c>
      <c r="F15" s="14" t="s">
        <v>191</v>
      </c>
    </row>
    <row r="16" customFormat="false" ht="15" hidden="false" customHeight="false" outlineLevel="0" collapsed="false">
      <c r="A16" s="14"/>
      <c r="B16" s="14" t="s">
        <v>192</v>
      </c>
      <c r="C16" s="14" t="s">
        <v>174</v>
      </c>
      <c r="D16" s="14" t="s">
        <v>193</v>
      </c>
      <c r="E16" s="14" t="s">
        <v>176</v>
      </c>
      <c r="F16" s="14" t="s">
        <v>194</v>
      </c>
    </row>
    <row r="17" customFormat="false" ht="15" hidden="false" customHeight="false" outlineLevel="0" collapsed="false">
      <c r="A17" s="14"/>
      <c r="B17" s="14" t="s">
        <v>195</v>
      </c>
      <c r="C17" s="14" t="s">
        <v>174</v>
      </c>
      <c r="D17" s="14" t="s">
        <v>116</v>
      </c>
      <c r="E17" s="14" t="s">
        <v>176</v>
      </c>
      <c r="F17" s="14" t="s">
        <v>196</v>
      </c>
    </row>
    <row r="18" customFormat="false" ht="15" hidden="false" customHeight="false" outlineLevel="0" collapsed="false">
      <c r="A18" s="14" t="s">
        <v>197</v>
      </c>
      <c r="B18" s="14" t="s">
        <v>50</v>
      </c>
      <c r="C18" s="14" t="s">
        <v>198</v>
      </c>
      <c r="D18" s="14" t="s">
        <v>199</v>
      </c>
      <c r="E18" s="16" t="s">
        <v>6</v>
      </c>
      <c r="F18" s="14" t="s">
        <v>200</v>
      </c>
    </row>
    <row r="19" customFormat="false" ht="15" hidden="false" customHeight="false" outlineLevel="0" collapsed="false">
      <c r="A19" s="14"/>
      <c r="B19" s="14" t="s">
        <v>201</v>
      </c>
      <c r="C19" s="14" t="s">
        <v>116</v>
      </c>
      <c r="D19" s="14" t="s">
        <v>116</v>
      </c>
      <c r="E19" s="17" t="s">
        <v>202</v>
      </c>
      <c r="F19" s="14" t="s">
        <v>203</v>
      </c>
    </row>
    <row r="20" customFormat="false" ht="15" hidden="false" customHeight="false" outlineLevel="0" collapsed="false">
      <c r="A20" s="14"/>
      <c r="B20" s="14" t="s">
        <v>204</v>
      </c>
      <c r="C20" s="14" t="s">
        <v>116</v>
      </c>
      <c r="D20" s="14" t="s">
        <v>116</v>
      </c>
      <c r="E20" s="17" t="s">
        <v>202</v>
      </c>
      <c r="F20" s="14" t="s">
        <v>95</v>
      </c>
    </row>
    <row r="21" customFormat="false" ht="15" hidden="false" customHeight="false" outlineLevel="0" collapsed="false">
      <c r="A21" s="14"/>
      <c r="B21" s="14" t="s">
        <v>205</v>
      </c>
      <c r="C21" s="14" t="s">
        <v>206</v>
      </c>
      <c r="D21" s="14" t="s">
        <v>207</v>
      </c>
      <c r="E21" s="16" t="s">
        <v>6</v>
      </c>
      <c r="F21" s="14" t="s">
        <v>208</v>
      </c>
    </row>
    <row r="22" customFormat="false" ht="15" hidden="false" customHeight="false" outlineLevel="0" collapsed="false">
      <c r="A22" s="14"/>
      <c r="B22" s="14" t="s">
        <v>209</v>
      </c>
      <c r="C22" s="14" t="s">
        <v>174</v>
      </c>
      <c r="D22" s="14" t="s">
        <v>116</v>
      </c>
      <c r="E22" s="14" t="s">
        <v>176</v>
      </c>
      <c r="F22" s="14" t="s">
        <v>210</v>
      </c>
    </row>
    <row r="23" customFormat="false" ht="15" hidden="false" customHeight="false" outlineLevel="0" collapsed="false">
      <c r="A23" s="14"/>
      <c r="B23" s="14" t="s">
        <v>211</v>
      </c>
      <c r="C23" s="14" t="s">
        <v>174</v>
      </c>
      <c r="D23" s="14" t="s">
        <v>212</v>
      </c>
      <c r="E23" s="14" t="s">
        <v>176</v>
      </c>
      <c r="F23" s="14" t="s">
        <v>213</v>
      </c>
    </row>
    <row r="24" customFormat="false" ht="15" hidden="false" customHeight="false" outlineLevel="0" collapsed="false">
      <c r="A24" s="14"/>
      <c r="B24" s="14" t="s">
        <v>214</v>
      </c>
      <c r="C24" s="14" t="s">
        <v>162</v>
      </c>
      <c r="D24" s="14" t="s">
        <v>215</v>
      </c>
      <c r="E24" s="16" t="s">
        <v>6</v>
      </c>
      <c r="F24" s="14" t="s">
        <v>216</v>
      </c>
    </row>
    <row r="25" customFormat="false" ht="15" hidden="false" customHeight="false" outlineLevel="0" collapsed="false">
      <c r="A25" s="14" t="s">
        <v>217</v>
      </c>
      <c r="B25" s="14" t="s">
        <v>218</v>
      </c>
      <c r="C25" s="14" t="s">
        <v>206</v>
      </c>
      <c r="D25" s="14" t="s">
        <v>219</v>
      </c>
      <c r="E25" s="16" t="s">
        <v>6</v>
      </c>
      <c r="F25" s="14" t="s">
        <v>220</v>
      </c>
    </row>
    <row r="26" customFormat="false" ht="15" hidden="false" customHeight="false" outlineLevel="0" collapsed="false">
      <c r="A26" s="14"/>
      <c r="B26" s="14" t="s">
        <v>221</v>
      </c>
      <c r="C26" s="14" t="s">
        <v>174</v>
      </c>
      <c r="D26" s="14" t="s">
        <v>116</v>
      </c>
      <c r="E26" s="14" t="s">
        <v>176</v>
      </c>
      <c r="F26" s="14" t="s">
        <v>222</v>
      </c>
    </row>
    <row r="27" customFormat="false" ht="15" hidden="false" customHeight="false" outlineLevel="0" collapsed="false">
      <c r="A27" s="14" t="s">
        <v>223</v>
      </c>
      <c r="B27" s="14" t="s">
        <v>42</v>
      </c>
      <c r="C27" s="14" t="s">
        <v>162</v>
      </c>
      <c r="D27" s="14" t="s">
        <v>224</v>
      </c>
      <c r="E27" s="16" t="s">
        <v>6</v>
      </c>
      <c r="F27" s="14" t="s">
        <v>225</v>
      </c>
    </row>
    <row r="28" customFormat="false" ht="15" hidden="false" customHeight="false" outlineLevel="0" collapsed="false">
      <c r="A28" s="14"/>
      <c r="B28" s="14" t="s">
        <v>226</v>
      </c>
      <c r="C28" s="14" t="s">
        <v>162</v>
      </c>
      <c r="D28" s="14" t="s">
        <v>227</v>
      </c>
      <c r="E28" s="16" t="s">
        <v>6</v>
      </c>
      <c r="F28" s="14" t="s">
        <v>228</v>
      </c>
    </row>
    <row r="29" customFormat="false" ht="15" hidden="false" customHeight="false" outlineLevel="0" collapsed="false">
      <c r="A29" s="14"/>
      <c r="B29" s="14" t="s">
        <v>229</v>
      </c>
      <c r="C29" s="14" t="s">
        <v>162</v>
      </c>
      <c r="D29" s="14" t="s">
        <v>230</v>
      </c>
      <c r="E29" s="14" t="s">
        <v>231</v>
      </c>
      <c r="F29" s="14" t="s">
        <v>95</v>
      </c>
    </row>
    <row r="30" customFormat="false" ht="15" hidden="false" customHeight="false" outlineLevel="0" collapsed="false">
      <c r="A30" s="14" t="s">
        <v>232</v>
      </c>
      <c r="B30" s="14" t="s">
        <v>233</v>
      </c>
      <c r="C30" s="14" t="s">
        <v>234</v>
      </c>
      <c r="D30" s="14" t="s">
        <v>235</v>
      </c>
      <c r="E30" s="15" t="s">
        <v>159</v>
      </c>
      <c r="F30" s="14" t="s">
        <v>95</v>
      </c>
    </row>
    <row r="31" customFormat="false" ht="15" hidden="false" customHeight="false" outlineLevel="0" collapsed="false">
      <c r="A31" s="14"/>
      <c r="B31" s="14" t="s">
        <v>236</v>
      </c>
      <c r="C31" s="14" t="s">
        <v>237</v>
      </c>
      <c r="D31" s="14" t="s">
        <v>238</v>
      </c>
      <c r="E31" s="15" t="s">
        <v>159</v>
      </c>
      <c r="F31" s="14" t="s">
        <v>239</v>
      </c>
    </row>
    <row r="32" customFormat="false" ht="15" hidden="false" customHeight="false" outlineLevel="0" collapsed="false">
      <c r="A32" s="14"/>
      <c r="B32" s="14" t="s">
        <v>240</v>
      </c>
      <c r="C32" s="14" t="s">
        <v>237</v>
      </c>
      <c r="D32" s="14" t="s">
        <v>238</v>
      </c>
      <c r="E32" s="15" t="s">
        <v>159</v>
      </c>
      <c r="F32" s="14" t="s">
        <v>95</v>
      </c>
    </row>
    <row r="33" customFormat="false" ht="15" hidden="false" customHeight="false" outlineLevel="0" collapsed="false">
      <c r="A33" s="14"/>
      <c r="B33" s="14" t="s">
        <v>241</v>
      </c>
      <c r="C33" s="14" t="s">
        <v>116</v>
      </c>
      <c r="D33" s="14" t="s">
        <v>212</v>
      </c>
      <c r="E33" s="15" t="s">
        <v>159</v>
      </c>
      <c r="F33" s="14" t="s">
        <v>95</v>
      </c>
    </row>
    <row r="34" customFormat="false" ht="15" hidden="false" customHeight="false" outlineLevel="0" collapsed="false">
      <c r="A34" s="14" t="s">
        <v>242</v>
      </c>
      <c r="B34" s="14" t="s">
        <v>48</v>
      </c>
      <c r="C34" s="14" t="s">
        <v>162</v>
      </c>
      <c r="D34" s="14" t="s">
        <v>175</v>
      </c>
      <c r="E34" s="16" t="s">
        <v>6</v>
      </c>
      <c r="F34" s="14" t="s">
        <v>243</v>
      </c>
    </row>
    <row r="35" customFormat="false" ht="15" hidden="false" customHeight="false" outlineLevel="0" collapsed="false">
      <c r="A35" s="14"/>
      <c r="B35" s="14" t="s">
        <v>61</v>
      </c>
      <c r="C35" s="14" t="s">
        <v>174</v>
      </c>
      <c r="D35" s="14" t="s">
        <v>244</v>
      </c>
      <c r="E35" s="18" t="s">
        <v>245</v>
      </c>
      <c r="F35" s="14" t="s">
        <v>246</v>
      </c>
    </row>
    <row r="36" customFormat="false" ht="15" hidden="false" customHeight="false" outlineLevel="0" collapsed="false">
      <c r="A36" s="14"/>
      <c r="B36" s="14" t="s">
        <v>64</v>
      </c>
      <c r="C36" s="14" t="s">
        <v>174</v>
      </c>
      <c r="D36" s="14" t="s">
        <v>244</v>
      </c>
      <c r="E36" s="18" t="s">
        <v>245</v>
      </c>
      <c r="F36" s="14" t="s">
        <v>247</v>
      </c>
    </row>
    <row r="37" customFormat="false" ht="15" hidden="false" customHeight="false" outlineLevel="0" collapsed="false">
      <c r="A37" s="14"/>
      <c r="B37" s="14" t="s">
        <v>248</v>
      </c>
      <c r="C37" s="14" t="s">
        <v>174</v>
      </c>
      <c r="D37" s="14" t="s">
        <v>162</v>
      </c>
      <c r="E37" s="18" t="s">
        <v>245</v>
      </c>
      <c r="F37" s="14" t="s">
        <v>95</v>
      </c>
    </row>
    <row r="38" customFormat="false" ht="15" hidden="false" customHeight="false" outlineLevel="0" collapsed="false">
      <c r="A38" s="14" t="s">
        <v>249</v>
      </c>
      <c r="B38" s="14" t="s">
        <v>250</v>
      </c>
      <c r="C38" s="14" t="s">
        <v>174</v>
      </c>
      <c r="D38" s="14" t="s">
        <v>116</v>
      </c>
      <c r="E38" s="14" t="s">
        <v>176</v>
      </c>
      <c r="F38" s="14" t="s">
        <v>95</v>
      </c>
    </row>
    <row r="39" customFormat="false" ht="15" hidden="false" customHeight="false" outlineLevel="0" collapsed="false">
      <c r="A39" s="14"/>
      <c r="B39" s="14" t="s">
        <v>251</v>
      </c>
      <c r="C39" s="14" t="s">
        <v>174</v>
      </c>
      <c r="D39" s="14" t="s">
        <v>175</v>
      </c>
      <c r="E39" s="14" t="s">
        <v>176</v>
      </c>
      <c r="F39" s="14" t="s">
        <v>252</v>
      </c>
    </row>
    <row r="40" customFormat="false" ht="15" hidden="false" customHeight="false" outlineLevel="0" collapsed="false">
      <c r="A40" s="14"/>
      <c r="B40" s="14" t="s">
        <v>253</v>
      </c>
      <c r="C40" s="14" t="s">
        <v>116</v>
      </c>
      <c r="D40" s="14" t="s">
        <v>254</v>
      </c>
      <c r="E40" s="17" t="s">
        <v>202</v>
      </c>
      <c r="F40" s="14" t="s">
        <v>255</v>
      </c>
    </row>
    <row r="41" customFormat="false" ht="15" hidden="false" customHeight="false" outlineLevel="0" collapsed="false">
      <c r="A41" s="14"/>
      <c r="B41" s="14" t="s">
        <v>256</v>
      </c>
      <c r="C41" s="14" t="s">
        <v>174</v>
      </c>
      <c r="D41" s="14" t="s">
        <v>116</v>
      </c>
      <c r="E41" s="14" t="s">
        <v>176</v>
      </c>
      <c r="F41" s="14" t="s">
        <v>95</v>
      </c>
    </row>
    <row r="42" customFormat="false" ht="15" hidden="false" customHeight="false" outlineLevel="0" collapsed="false">
      <c r="A42" s="14" t="s">
        <v>257</v>
      </c>
      <c r="B42" s="14" t="s">
        <v>258</v>
      </c>
      <c r="C42" s="14" t="s">
        <v>174</v>
      </c>
      <c r="D42" s="14" t="s">
        <v>259</v>
      </c>
      <c r="E42" s="16" t="s">
        <v>6</v>
      </c>
      <c r="F42" s="14" t="s">
        <v>260</v>
      </c>
    </row>
    <row r="43" customFormat="false" ht="15" hidden="false" customHeight="false" outlineLevel="0" collapsed="false">
      <c r="A43" s="14" t="s">
        <v>261</v>
      </c>
      <c r="B43" s="14" t="s">
        <v>65</v>
      </c>
      <c r="C43" s="14" t="s">
        <v>174</v>
      </c>
      <c r="D43" s="14" t="s">
        <v>262</v>
      </c>
      <c r="E43" s="18" t="s">
        <v>245</v>
      </c>
      <c r="F43" s="14" t="s">
        <v>263</v>
      </c>
    </row>
    <row r="44" customFormat="false" ht="15" hidden="false" customHeight="false" outlineLevel="0" collapsed="false">
      <c r="A44" s="14" t="s">
        <v>264</v>
      </c>
      <c r="B44" s="14" t="s">
        <v>265</v>
      </c>
      <c r="C44" s="14" t="s">
        <v>162</v>
      </c>
      <c r="D44" s="14" t="s">
        <v>266</v>
      </c>
      <c r="E44" s="18" t="s">
        <v>245</v>
      </c>
      <c r="F44" s="14" t="s">
        <v>267</v>
      </c>
    </row>
    <row r="45" customFormat="false" ht="15" hidden="false" customHeight="false" outlineLevel="0" collapsed="false">
      <c r="A45" s="14" t="s">
        <v>268</v>
      </c>
      <c r="B45" s="14" t="s">
        <v>68</v>
      </c>
      <c r="C45" s="14" t="s">
        <v>269</v>
      </c>
      <c r="D45" s="14" t="s">
        <v>270</v>
      </c>
      <c r="E45" s="18" t="s">
        <v>245</v>
      </c>
      <c r="F45" s="14" t="s">
        <v>271</v>
      </c>
    </row>
    <row r="46" customFormat="false" ht="15" hidden="false" customHeight="false" outlineLevel="0" collapsed="false">
      <c r="A46" s="14"/>
      <c r="B46" s="14" t="s">
        <v>272</v>
      </c>
      <c r="C46" s="14" t="s">
        <v>116</v>
      </c>
      <c r="D46" s="14" t="s">
        <v>116</v>
      </c>
      <c r="E46" s="17" t="s">
        <v>202</v>
      </c>
      <c r="F46" s="14" t="s">
        <v>95</v>
      </c>
    </row>
    <row r="47" customFormat="false" ht="15" hidden="false" customHeight="false" outlineLevel="0" collapsed="false">
      <c r="A47" s="14"/>
      <c r="B47" s="14" t="s">
        <v>273</v>
      </c>
      <c r="C47" s="14" t="s">
        <v>174</v>
      </c>
      <c r="D47" s="14" t="s">
        <v>274</v>
      </c>
      <c r="E47" s="14" t="s">
        <v>176</v>
      </c>
      <c r="F47" s="14" t="s">
        <v>275</v>
      </c>
    </row>
    <row r="48" customFormat="false" ht="15" hidden="false" customHeight="false" outlineLevel="0" collapsed="false">
      <c r="A48" s="14" t="s">
        <v>276</v>
      </c>
      <c r="B48" s="14" t="s">
        <v>277</v>
      </c>
      <c r="C48" s="14" t="s">
        <v>162</v>
      </c>
      <c r="D48" s="14" t="s">
        <v>116</v>
      </c>
      <c r="E48" s="16" t="s">
        <v>6</v>
      </c>
      <c r="F48" s="14" t="s">
        <v>278</v>
      </c>
    </row>
    <row r="49" customFormat="false" ht="15" hidden="false" customHeight="false" outlineLevel="0" collapsed="false">
      <c r="A49" s="14"/>
      <c r="B49" s="14" t="s">
        <v>279</v>
      </c>
      <c r="C49" s="14" t="s">
        <v>162</v>
      </c>
      <c r="D49" s="14" t="s">
        <v>116</v>
      </c>
      <c r="E49" s="16" t="s">
        <v>6</v>
      </c>
      <c r="F49" s="14" t="s">
        <v>280</v>
      </c>
    </row>
    <row r="50" customFormat="false" ht="15" hidden="false" customHeight="false" outlineLevel="0" collapsed="false">
      <c r="A50" s="14"/>
      <c r="B50" s="14" t="s">
        <v>281</v>
      </c>
      <c r="C50" s="14" t="s">
        <v>162</v>
      </c>
      <c r="D50" s="14" t="s">
        <v>282</v>
      </c>
      <c r="E50" s="16" t="s">
        <v>6</v>
      </c>
      <c r="F50" s="14" t="s">
        <v>280</v>
      </c>
    </row>
    <row r="51" customFormat="false" ht="15" hidden="false" customHeight="false" outlineLevel="0" collapsed="false">
      <c r="A51" s="14"/>
      <c r="B51" s="14" t="s">
        <v>283</v>
      </c>
      <c r="C51" s="14" t="s">
        <v>174</v>
      </c>
      <c r="D51" s="14" t="s">
        <v>116</v>
      </c>
      <c r="E51" s="14" t="s">
        <v>176</v>
      </c>
      <c r="F51" s="14" t="s">
        <v>284</v>
      </c>
    </row>
    <row r="54" customFormat="false" ht="15" hidden="false" customHeight="false" outlineLevel="0" collapsed="false">
      <c r="A54" s="3" t="s">
        <v>285</v>
      </c>
      <c r="B54" s="3"/>
      <c r="C54" s="3"/>
      <c r="D54" s="3"/>
      <c r="E54" s="3"/>
      <c r="F54" s="3"/>
    </row>
    <row r="55" customFormat="false" ht="15" hidden="false" customHeight="true" outlineLevel="0" collapsed="false">
      <c r="A55" s="14" t="s">
        <v>286</v>
      </c>
      <c r="B55" s="14" t="n">
        <f aca="false">COUNTIF(E5:E51,"SC")</f>
        <v>12</v>
      </c>
      <c r="C55" s="14" t="s">
        <v>287</v>
      </c>
      <c r="D55" s="14"/>
      <c r="E55" s="14"/>
      <c r="F55" s="14"/>
    </row>
    <row r="56" customFormat="false" ht="15" hidden="false" customHeight="true" outlineLevel="0" collapsed="false">
      <c r="A56" s="14" t="s">
        <v>288</v>
      </c>
      <c r="B56" s="14" t="n">
        <f aca="false">COUNTIF(E5:E51,"Sortly")</f>
        <v>13</v>
      </c>
      <c r="C56" s="14" t="s">
        <v>289</v>
      </c>
      <c r="D56" s="14"/>
      <c r="E56" s="14"/>
      <c r="F56" s="14"/>
    </row>
    <row r="57" customFormat="false" ht="15" hidden="false" customHeight="true" outlineLevel="0" collapsed="false">
      <c r="A57" s="14" t="s">
        <v>290</v>
      </c>
      <c r="B57" s="14" t="n">
        <f aca="false">COUNTIF(E5:E51,"Tie")</f>
        <v>4</v>
      </c>
      <c r="C57" s="14" t="s">
        <v>291</v>
      </c>
      <c r="D57" s="14"/>
      <c r="E57" s="14"/>
      <c r="F57" s="14"/>
    </row>
    <row r="58" customFormat="false" ht="15" hidden="false" customHeight="true" outlineLevel="0" collapsed="false">
      <c r="A58" s="14" t="s">
        <v>292</v>
      </c>
      <c r="B58" s="14" t="n">
        <f aca="false">COUNTIF(E5:E51,"Opportunity")</f>
        <v>6</v>
      </c>
      <c r="C58" s="14" t="s">
        <v>293</v>
      </c>
      <c r="D58" s="14"/>
      <c r="E58" s="14"/>
      <c r="F58" s="14"/>
    </row>
    <row r="59" customFormat="false" ht="15" hidden="false" customHeight="true" outlineLevel="0" collapsed="false">
      <c r="A59" s="14" t="s">
        <v>294</v>
      </c>
      <c r="B59" s="14" t="n">
        <f aca="false">COUNTIF(E5:E51,"?")</f>
        <v>11</v>
      </c>
      <c r="C59" s="14" t="s">
        <v>295</v>
      </c>
      <c r="D59" s="14"/>
      <c r="E59" s="14"/>
      <c r="F59" s="14"/>
    </row>
    <row r="60" customFormat="false" ht="15" hidden="false" customHeight="true" outlineLevel="0" collapsed="false">
      <c r="A60" s="14" t="s">
        <v>296</v>
      </c>
      <c r="B60" s="14" t="n">
        <f aca="false">COUNTA(B5:B51)</f>
        <v>47</v>
      </c>
      <c r="C60" s="14" t="s">
        <v>95</v>
      </c>
      <c r="D60" s="14"/>
      <c r="E60" s="14"/>
      <c r="F60" s="14"/>
    </row>
  </sheetData>
  <mergeCells count="9">
    <mergeCell ref="A1:F1"/>
    <mergeCell ref="A2:F2"/>
    <mergeCell ref="A54:F54"/>
    <mergeCell ref="C55:F55"/>
    <mergeCell ref="C56:F56"/>
    <mergeCell ref="C57:F57"/>
    <mergeCell ref="C58:F58"/>
    <mergeCell ref="C59:F59"/>
    <mergeCell ref="C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44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46"/>
  </cols>
  <sheetData>
    <row r="1" customFormat="false" ht="19.7" hidden="false" customHeight="false" outlineLevel="0" collapsed="false">
      <c r="A1" s="11" t="s">
        <v>297</v>
      </c>
      <c r="B1" s="11"/>
      <c r="C1" s="11"/>
      <c r="D1" s="11"/>
      <c r="E1" s="11"/>
      <c r="F1" s="11"/>
      <c r="G1" s="11"/>
    </row>
    <row r="2" customFormat="false" ht="15" hidden="false" customHeight="false" outlineLevel="0" collapsed="false">
      <c r="A2" s="12" t="s">
        <v>298</v>
      </c>
      <c r="B2" s="12"/>
      <c r="C2" s="12"/>
      <c r="D2" s="12"/>
      <c r="E2" s="12"/>
      <c r="F2" s="12"/>
      <c r="G2" s="12"/>
    </row>
    <row r="4" customFormat="false" ht="15" hidden="false" customHeight="false" outlineLevel="0" collapsed="false">
      <c r="A4" s="13" t="s">
        <v>299</v>
      </c>
      <c r="B4" s="13" t="s">
        <v>300</v>
      </c>
      <c r="C4" s="13" t="s">
        <v>301</v>
      </c>
      <c r="D4" s="13" t="s">
        <v>302</v>
      </c>
      <c r="E4" s="13" t="s">
        <v>303</v>
      </c>
      <c r="F4" s="13" t="s">
        <v>304</v>
      </c>
      <c r="G4" s="13" t="s">
        <v>305</v>
      </c>
    </row>
    <row r="5" customFormat="false" ht="23.85" hidden="false" customHeight="false" outlineLevel="0" collapsed="false">
      <c r="A5" s="14" t="n">
        <v>1</v>
      </c>
      <c r="B5" s="14" t="s">
        <v>306</v>
      </c>
      <c r="C5" s="14" t="s">
        <v>307</v>
      </c>
      <c r="D5" s="14" t="s">
        <v>308</v>
      </c>
      <c r="E5" s="14" t="s">
        <v>309</v>
      </c>
      <c r="F5" s="14" t="s">
        <v>310</v>
      </c>
      <c r="G5" s="14" t="s">
        <v>311</v>
      </c>
    </row>
    <row r="6" customFormat="false" ht="23.85" hidden="false" customHeight="false" outlineLevel="0" collapsed="false">
      <c r="A6" s="14" t="n">
        <v>2</v>
      </c>
      <c r="B6" s="14" t="s">
        <v>312</v>
      </c>
      <c r="C6" s="14" t="s">
        <v>46</v>
      </c>
      <c r="D6" s="14" t="s">
        <v>313</v>
      </c>
      <c r="E6" s="14" t="s">
        <v>314</v>
      </c>
      <c r="F6" s="14" t="s">
        <v>315</v>
      </c>
      <c r="G6" s="14" t="s">
        <v>316</v>
      </c>
    </row>
    <row r="7" customFormat="false" ht="35.05" hidden="false" customHeight="false" outlineLevel="0" collapsed="false">
      <c r="A7" s="14" t="n">
        <v>3</v>
      </c>
      <c r="B7" s="14" t="s">
        <v>317</v>
      </c>
      <c r="C7" s="14" t="s">
        <v>318</v>
      </c>
      <c r="D7" s="14" t="s">
        <v>319</v>
      </c>
      <c r="E7" s="14" t="s">
        <v>320</v>
      </c>
      <c r="F7" s="14" t="s">
        <v>321</v>
      </c>
      <c r="G7" s="14" t="s">
        <v>322</v>
      </c>
    </row>
    <row r="8" customFormat="false" ht="23.85" hidden="false" customHeight="false" outlineLevel="0" collapsed="false">
      <c r="A8" s="14" t="n">
        <v>4</v>
      </c>
      <c r="B8" s="14" t="s">
        <v>323</v>
      </c>
      <c r="C8" s="14" t="s">
        <v>324</v>
      </c>
      <c r="D8" s="14" t="s">
        <v>325</v>
      </c>
      <c r="E8" s="14" t="s">
        <v>326</v>
      </c>
      <c r="F8" s="14" t="s">
        <v>327</v>
      </c>
      <c r="G8" s="14" t="s">
        <v>328</v>
      </c>
    </row>
    <row r="9" customFormat="false" ht="23.85" hidden="false" customHeight="false" outlineLevel="0" collapsed="false">
      <c r="A9" s="14" t="n">
        <v>5</v>
      </c>
      <c r="B9" s="14" t="s">
        <v>329</v>
      </c>
      <c r="C9" s="14" t="s">
        <v>330</v>
      </c>
      <c r="D9" s="14" t="s">
        <v>331</v>
      </c>
      <c r="E9" s="14" t="s">
        <v>332</v>
      </c>
      <c r="F9" s="14" t="s">
        <v>333</v>
      </c>
      <c r="G9" s="14" t="s">
        <v>334</v>
      </c>
    </row>
    <row r="10" customFormat="false" ht="23.85" hidden="false" customHeight="false" outlineLevel="0" collapsed="false">
      <c r="A10" s="14" t="n">
        <v>6</v>
      </c>
      <c r="B10" s="14" t="s">
        <v>335</v>
      </c>
      <c r="C10" s="14" t="s">
        <v>58</v>
      </c>
      <c r="D10" s="14" t="s">
        <v>336</v>
      </c>
      <c r="E10" s="14" t="s">
        <v>337</v>
      </c>
      <c r="F10" s="14" t="s">
        <v>338</v>
      </c>
      <c r="G10" s="14" t="s">
        <v>339</v>
      </c>
    </row>
    <row r="11" customFormat="false" ht="23.85" hidden="false" customHeight="false" outlineLevel="0" collapsed="false">
      <c r="A11" s="14" t="n">
        <v>7</v>
      </c>
      <c r="B11" s="14" t="s">
        <v>340</v>
      </c>
      <c r="C11" s="14" t="s">
        <v>341</v>
      </c>
      <c r="D11" s="14" t="s">
        <v>342</v>
      </c>
      <c r="E11" s="14" t="s">
        <v>343</v>
      </c>
      <c r="F11" s="14" t="s">
        <v>344</v>
      </c>
      <c r="G11" s="14" t="s">
        <v>345</v>
      </c>
    </row>
    <row r="12" customFormat="false" ht="35.05" hidden="false" customHeight="false" outlineLevel="0" collapsed="false">
      <c r="A12" s="14" t="n">
        <v>8</v>
      </c>
      <c r="B12" s="14" t="s">
        <v>346</v>
      </c>
      <c r="C12" s="14" t="s">
        <v>347</v>
      </c>
      <c r="D12" s="14" t="s">
        <v>348</v>
      </c>
      <c r="E12" s="14" t="s">
        <v>349</v>
      </c>
      <c r="F12" s="14" t="s">
        <v>350</v>
      </c>
      <c r="G12" s="14" t="s">
        <v>351</v>
      </c>
    </row>
    <row r="13" customFormat="false" ht="15" hidden="false" customHeight="false" outlineLevel="0" collapsed="false">
      <c r="A13" s="14" t="n">
        <v>9</v>
      </c>
      <c r="B13" s="14" t="s">
        <v>352</v>
      </c>
      <c r="C13" s="14" t="s">
        <v>353</v>
      </c>
      <c r="D13" s="14" t="s">
        <v>354</v>
      </c>
      <c r="E13" s="14" t="s">
        <v>355</v>
      </c>
      <c r="F13" s="14" t="s">
        <v>356</v>
      </c>
      <c r="G13" s="14" t="s">
        <v>357</v>
      </c>
    </row>
    <row r="14" customFormat="false" ht="23.85" hidden="false" customHeight="false" outlineLevel="0" collapsed="false">
      <c r="A14" s="14" t="n">
        <v>10</v>
      </c>
      <c r="B14" s="14" t="s">
        <v>358</v>
      </c>
      <c r="C14" s="14" t="s">
        <v>359</v>
      </c>
      <c r="D14" s="14" t="s">
        <v>360</v>
      </c>
      <c r="E14" s="14" t="s">
        <v>361</v>
      </c>
      <c r="F14" s="14" t="s">
        <v>356</v>
      </c>
      <c r="G14" s="14" t="s">
        <v>362</v>
      </c>
    </row>
    <row r="15" customFormat="false" ht="23.85" hidden="false" customHeight="false" outlineLevel="0" collapsed="false">
      <c r="A15" s="14" t="n">
        <v>11</v>
      </c>
      <c r="B15" s="14" t="s">
        <v>363</v>
      </c>
      <c r="C15" s="14" t="s">
        <v>364</v>
      </c>
      <c r="D15" s="14" t="s">
        <v>365</v>
      </c>
      <c r="E15" s="14" t="s">
        <v>366</v>
      </c>
      <c r="F15" s="14" t="s">
        <v>367</v>
      </c>
      <c r="G15" s="14" t="s">
        <v>368</v>
      </c>
    </row>
    <row r="16" customFormat="false" ht="23.85" hidden="false" customHeight="false" outlineLevel="0" collapsed="false">
      <c r="A16" s="14" t="n">
        <v>12</v>
      </c>
      <c r="B16" s="14" t="s">
        <v>369</v>
      </c>
      <c r="C16" s="14" t="s">
        <v>370</v>
      </c>
      <c r="D16" s="14" t="s">
        <v>371</v>
      </c>
      <c r="E16" s="14" t="s">
        <v>372</v>
      </c>
      <c r="F16" s="14" t="s">
        <v>338</v>
      </c>
      <c r="G16" s="14" t="s">
        <v>373</v>
      </c>
    </row>
    <row r="17" customFormat="false" ht="23.85" hidden="false" customHeight="false" outlineLevel="0" collapsed="false">
      <c r="A17" s="14" t="n">
        <v>13</v>
      </c>
      <c r="B17" s="14" t="s">
        <v>374</v>
      </c>
      <c r="C17" s="14" t="s">
        <v>375</v>
      </c>
      <c r="D17" s="14" t="s">
        <v>376</v>
      </c>
      <c r="E17" s="14" t="s">
        <v>377</v>
      </c>
      <c r="F17" s="14" t="s">
        <v>333</v>
      </c>
      <c r="G17" s="14" t="s">
        <v>378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58"/>
    <col collapsed="false" customWidth="true" hidden="false" outlineLevel="0" max="5" min="5" style="0" width="42"/>
  </cols>
  <sheetData>
    <row r="1" customFormat="false" ht="19.7" hidden="false" customHeight="false" outlineLevel="0" collapsed="false">
      <c r="A1" s="11" t="s">
        <v>379</v>
      </c>
      <c r="B1" s="11"/>
      <c r="C1" s="11"/>
      <c r="D1" s="11"/>
      <c r="E1" s="11"/>
    </row>
    <row r="2" customFormat="false" ht="15" hidden="false" customHeight="false" outlineLevel="0" collapsed="false">
      <c r="A2" s="12" t="s">
        <v>380</v>
      </c>
      <c r="B2" s="12"/>
      <c r="C2" s="12"/>
      <c r="D2" s="12"/>
      <c r="E2" s="12"/>
    </row>
    <row r="4" customFormat="false" ht="15" hidden="false" customHeight="false" outlineLevel="0" collapsed="false">
      <c r="A4" s="3" t="s">
        <v>381</v>
      </c>
      <c r="B4" s="3"/>
      <c r="C4" s="3"/>
      <c r="D4" s="3"/>
      <c r="E4" s="3"/>
    </row>
    <row r="5" customFormat="false" ht="15" hidden="false" customHeight="false" outlineLevel="0" collapsed="false">
      <c r="A5" s="13" t="s">
        <v>382</v>
      </c>
      <c r="B5" s="13" t="s">
        <v>383</v>
      </c>
      <c r="C5" s="13" t="s">
        <v>384</v>
      </c>
      <c r="D5" s="13" t="s">
        <v>385</v>
      </c>
      <c r="E5" s="13" t="s">
        <v>386</v>
      </c>
    </row>
    <row r="6" customFormat="false" ht="15" hidden="false" customHeight="false" outlineLevel="0" collapsed="false">
      <c r="A6" s="14" t="n">
        <v>1</v>
      </c>
      <c r="B6" s="14" t="s">
        <v>387</v>
      </c>
      <c r="C6" s="14" t="s">
        <v>116</v>
      </c>
      <c r="D6" s="14" t="s">
        <v>388</v>
      </c>
      <c r="E6" s="14" t="s">
        <v>389</v>
      </c>
    </row>
    <row r="7" customFormat="false" ht="15" hidden="false" customHeight="false" outlineLevel="0" collapsed="false">
      <c r="A7" s="14" t="n">
        <v>2</v>
      </c>
      <c r="B7" s="14" t="s">
        <v>390</v>
      </c>
      <c r="C7" s="14" t="s">
        <v>116</v>
      </c>
      <c r="D7" s="14" t="s">
        <v>391</v>
      </c>
      <c r="E7" s="14" t="s">
        <v>392</v>
      </c>
    </row>
    <row r="8" customFormat="false" ht="15" hidden="false" customHeight="false" outlineLevel="0" collapsed="false">
      <c r="A8" s="14" t="n">
        <v>3</v>
      </c>
      <c r="B8" s="14" t="s">
        <v>393</v>
      </c>
      <c r="C8" s="14" t="s">
        <v>116</v>
      </c>
      <c r="D8" s="14" t="s">
        <v>394</v>
      </c>
      <c r="E8" s="14" t="s">
        <v>395</v>
      </c>
    </row>
    <row r="9" customFormat="false" ht="23.85" hidden="false" customHeight="false" outlineLevel="0" collapsed="false">
      <c r="A9" s="14" t="n">
        <v>4</v>
      </c>
      <c r="B9" s="14" t="s">
        <v>396</v>
      </c>
      <c r="C9" s="14" t="s">
        <v>116</v>
      </c>
      <c r="D9" s="14" t="s">
        <v>397</v>
      </c>
      <c r="E9" s="14" t="s">
        <v>398</v>
      </c>
    </row>
    <row r="10" customFormat="false" ht="15" hidden="false" customHeight="false" outlineLevel="0" collapsed="false">
      <c r="A10" s="14" t="n">
        <v>5</v>
      </c>
      <c r="B10" s="14" t="s">
        <v>399</v>
      </c>
      <c r="C10" s="14" t="s">
        <v>116</v>
      </c>
      <c r="D10" s="14" t="s">
        <v>400</v>
      </c>
      <c r="E10" s="14" t="s">
        <v>401</v>
      </c>
    </row>
    <row r="11" customFormat="false" ht="15" hidden="false" customHeight="false" outlineLevel="0" collapsed="false">
      <c r="A11" s="14" t="n">
        <v>6</v>
      </c>
      <c r="B11" s="14" t="s">
        <v>402</v>
      </c>
      <c r="C11" s="14" t="s">
        <v>116</v>
      </c>
      <c r="D11" s="14" t="s">
        <v>403</v>
      </c>
      <c r="E11" s="14" t="s">
        <v>404</v>
      </c>
    </row>
    <row r="12" customFormat="false" ht="23.85" hidden="false" customHeight="false" outlineLevel="0" collapsed="false">
      <c r="A12" s="14" t="n">
        <v>7</v>
      </c>
      <c r="B12" s="14" t="s">
        <v>405</v>
      </c>
      <c r="C12" s="14" t="s">
        <v>116</v>
      </c>
      <c r="D12" s="14" t="s">
        <v>406</v>
      </c>
      <c r="E12" s="14" t="s">
        <v>407</v>
      </c>
    </row>
    <row r="13" customFormat="false" ht="15" hidden="false" customHeight="false" outlineLevel="0" collapsed="false">
      <c r="A13" s="14" t="n">
        <v>8</v>
      </c>
      <c r="B13" s="14" t="s">
        <v>408</v>
      </c>
      <c r="C13" s="14" t="s">
        <v>116</v>
      </c>
      <c r="D13" s="14" t="s">
        <v>409</v>
      </c>
      <c r="E13" s="14" t="s">
        <v>410</v>
      </c>
    </row>
    <row r="14" customFormat="false" ht="15" hidden="false" customHeight="false" outlineLevel="0" collapsed="false">
      <c r="A14" s="14" t="n">
        <v>9</v>
      </c>
      <c r="B14" s="14" t="s">
        <v>411</v>
      </c>
      <c r="C14" s="14" t="s">
        <v>116</v>
      </c>
      <c r="D14" s="14" t="s">
        <v>412</v>
      </c>
      <c r="E14" s="14" t="s">
        <v>413</v>
      </c>
    </row>
    <row r="15" customFormat="false" ht="15" hidden="false" customHeight="false" outlineLevel="0" collapsed="false">
      <c r="A15" s="14" t="n">
        <v>10</v>
      </c>
      <c r="B15" s="14" t="s">
        <v>414</v>
      </c>
      <c r="C15" s="14" t="s">
        <v>116</v>
      </c>
      <c r="D15" s="14" t="s">
        <v>415</v>
      </c>
      <c r="E15" s="14" t="s">
        <v>416</v>
      </c>
    </row>
    <row r="16" customFormat="false" ht="15" hidden="false" customHeight="false" outlineLevel="0" collapsed="false">
      <c r="A16" s="14" t="n">
        <v>11</v>
      </c>
      <c r="B16" s="14" t="s">
        <v>417</v>
      </c>
      <c r="C16" s="14" t="s">
        <v>116</v>
      </c>
      <c r="D16" s="14" t="s">
        <v>418</v>
      </c>
      <c r="E16" s="14" t="s">
        <v>419</v>
      </c>
    </row>
    <row r="17" customFormat="false" ht="15" hidden="false" customHeight="false" outlineLevel="0" collapsed="false">
      <c r="A17" s="14" t="n">
        <v>12</v>
      </c>
      <c r="B17" s="14" t="s">
        <v>420</v>
      </c>
      <c r="C17" s="14" t="s">
        <v>421</v>
      </c>
      <c r="D17" s="14" t="s">
        <v>422</v>
      </c>
      <c r="E17" s="14" t="s">
        <v>423</v>
      </c>
    </row>
    <row r="19" customFormat="false" ht="15" hidden="false" customHeight="false" outlineLevel="0" collapsed="false">
      <c r="A19" s="3" t="s">
        <v>424</v>
      </c>
      <c r="B19" s="3"/>
      <c r="C19" s="3"/>
      <c r="D19" s="3"/>
      <c r="E19" s="3"/>
    </row>
    <row r="20" customFormat="false" ht="15" hidden="false" customHeight="false" outlineLevel="0" collapsed="false">
      <c r="A20" s="13" t="s">
        <v>382</v>
      </c>
      <c r="B20" s="13" t="s">
        <v>425</v>
      </c>
      <c r="C20" s="13" t="s">
        <v>426</v>
      </c>
      <c r="D20" s="13" t="s">
        <v>427</v>
      </c>
      <c r="E20" s="13" t="s">
        <v>428</v>
      </c>
    </row>
    <row r="21" customFormat="false" ht="15" hidden="false" customHeight="false" outlineLevel="0" collapsed="false">
      <c r="A21" s="14" t="n">
        <v>1</v>
      </c>
      <c r="B21" s="14" t="s">
        <v>429</v>
      </c>
      <c r="C21" s="14" t="s">
        <v>387</v>
      </c>
      <c r="D21" s="14" t="s">
        <v>430</v>
      </c>
      <c r="E21" s="14" t="s">
        <v>431</v>
      </c>
    </row>
    <row r="22" customFormat="false" ht="15" hidden="false" customHeight="false" outlineLevel="0" collapsed="false">
      <c r="A22" s="14" t="n">
        <v>2</v>
      </c>
      <c r="B22" s="14" t="s">
        <v>432</v>
      </c>
      <c r="C22" s="14" t="s">
        <v>387</v>
      </c>
      <c r="D22" s="14" t="s">
        <v>433</v>
      </c>
      <c r="E22" s="14" t="s">
        <v>431</v>
      </c>
    </row>
    <row r="23" customFormat="false" ht="15" hidden="false" customHeight="false" outlineLevel="0" collapsed="false">
      <c r="A23" s="14" t="n">
        <v>3</v>
      </c>
      <c r="B23" s="14" t="s">
        <v>434</v>
      </c>
      <c r="C23" s="14" t="s">
        <v>405</v>
      </c>
      <c r="D23" s="14" t="s">
        <v>435</v>
      </c>
      <c r="E23" s="14" t="s">
        <v>431</v>
      </c>
    </row>
    <row r="24" customFormat="false" ht="15" hidden="false" customHeight="false" outlineLevel="0" collapsed="false">
      <c r="A24" s="14" t="n">
        <v>4</v>
      </c>
      <c r="B24" s="14" t="s">
        <v>436</v>
      </c>
      <c r="C24" s="14" t="s">
        <v>405</v>
      </c>
      <c r="D24" s="14" t="s">
        <v>437</v>
      </c>
      <c r="E24" s="14" t="s">
        <v>431</v>
      </c>
    </row>
    <row r="25" customFormat="false" ht="15" hidden="false" customHeight="false" outlineLevel="0" collapsed="false">
      <c r="A25" s="14" t="n">
        <v>5</v>
      </c>
      <c r="B25" s="14" t="s">
        <v>438</v>
      </c>
      <c r="C25" s="14" t="s">
        <v>414</v>
      </c>
      <c r="D25" s="14" t="s">
        <v>439</v>
      </c>
      <c r="E25" s="14" t="s">
        <v>431</v>
      </c>
    </row>
    <row r="26" customFormat="false" ht="15" hidden="false" customHeight="false" outlineLevel="0" collapsed="false">
      <c r="A26" s="14" t="n">
        <v>6</v>
      </c>
      <c r="B26" s="14" t="s">
        <v>440</v>
      </c>
      <c r="C26" s="14" t="s">
        <v>387</v>
      </c>
      <c r="D26" s="14" t="s">
        <v>441</v>
      </c>
      <c r="E26" s="14" t="s">
        <v>431</v>
      </c>
    </row>
    <row r="28" customFormat="false" ht="15" hidden="false" customHeight="false" outlineLevel="0" collapsed="false">
      <c r="A28" s="3" t="s">
        <v>442</v>
      </c>
      <c r="B28" s="3"/>
      <c r="C28" s="3"/>
      <c r="D28" s="3"/>
      <c r="E28" s="3"/>
    </row>
    <row r="29" customFormat="false" ht="15" hidden="false" customHeight="false" outlineLevel="0" collapsed="false">
      <c r="A29" s="13" t="s">
        <v>382</v>
      </c>
      <c r="B29" s="13" t="s">
        <v>402</v>
      </c>
      <c r="C29" s="13" t="s">
        <v>443</v>
      </c>
      <c r="D29" s="13" t="s">
        <v>444</v>
      </c>
      <c r="E29" s="13" t="s">
        <v>154</v>
      </c>
    </row>
    <row r="30" customFormat="false" ht="15" hidden="false" customHeight="false" outlineLevel="0" collapsed="false">
      <c r="A30" s="14" t="n">
        <v>1</v>
      </c>
      <c r="B30" s="14" t="s">
        <v>445</v>
      </c>
      <c r="C30" s="14" t="s">
        <v>446</v>
      </c>
      <c r="D30" s="14" t="s">
        <v>447</v>
      </c>
      <c r="E30" s="14" t="s">
        <v>448</v>
      </c>
    </row>
    <row r="31" customFormat="false" ht="15" hidden="false" customHeight="false" outlineLevel="0" collapsed="false">
      <c r="A31" s="14" t="n">
        <v>2</v>
      </c>
      <c r="B31" s="14" t="s">
        <v>449</v>
      </c>
      <c r="C31" s="14" t="s">
        <v>450</v>
      </c>
      <c r="D31" s="14" t="s">
        <v>451</v>
      </c>
      <c r="E31" s="14" t="s">
        <v>452</v>
      </c>
    </row>
    <row r="32" customFormat="false" ht="15" hidden="false" customHeight="false" outlineLevel="0" collapsed="false">
      <c r="A32" s="14" t="n">
        <v>3</v>
      </c>
      <c r="B32" s="14" t="s">
        <v>453</v>
      </c>
      <c r="C32" s="14" t="s">
        <v>454</v>
      </c>
      <c r="D32" s="14" t="s">
        <v>455</v>
      </c>
      <c r="E32" s="14" t="s">
        <v>456</v>
      </c>
    </row>
    <row r="33" customFormat="false" ht="15" hidden="false" customHeight="false" outlineLevel="0" collapsed="false">
      <c r="A33" s="14" t="n">
        <v>4</v>
      </c>
      <c r="B33" s="14" t="s">
        <v>457</v>
      </c>
      <c r="C33" s="14" t="s">
        <v>458</v>
      </c>
      <c r="D33" s="14" t="s">
        <v>459</v>
      </c>
      <c r="E33" s="14" t="s">
        <v>460</v>
      </c>
    </row>
    <row r="35" customFormat="false" ht="15" hidden="false" customHeight="false" outlineLevel="0" collapsed="false">
      <c r="A35" s="3" t="s">
        <v>461</v>
      </c>
      <c r="B35" s="3"/>
      <c r="C35" s="3"/>
      <c r="D35" s="3"/>
      <c r="E35" s="3"/>
    </row>
    <row r="36" customFormat="false" ht="15" hidden="false" customHeight="false" outlineLevel="0" collapsed="false">
      <c r="A36" s="13" t="s">
        <v>382</v>
      </c>
      <c r="B36" s="13" t="s">
        <v>462</v>
      </c>
      <c r="C36" s="13" t="s">
        <v>463</v>
      </c>
      <c r="D36" s="13" t="s">
        <v>383</v>
      </c>
      <c r="E36" s="13" t="s">
        <v>154</v>
      </c>
    </row>
    <row r="37" customFormat="false" ht="15" hidden="false" customHeight="false" outlineLevel="0" collapsed="false">
      <c r="A37" s="14" t="n">
        <v>1</v>
      </c>
      <c r="B37" s="14" t="s">
        <v>464</v>
      </c>
      <c r="C37" s="14" t="s">
        <v>465</v>
      </c>
      <c r="D37" s="14" t="s">
        <v>466</v>
      </c>
      <c r="E37" s="14" t="s">
        <v>467</v>
      </c>
    </row>
    <row r="38" customFormat="false" ht="15" hidden="false" customHeight="false" outlineLevel="0" collapsed="false">
      <c r="A38" s="14" t="n">
        <v>2</v>
      </c>
      <c r="B38" s="14" t="s">
        <v>464</v>
      </c>
      <c r="C38" s="14" t="s">
        <v>468</v>
      </c>
      <c r="D38" s="14" t="s">
        <v>466</v>
      </c>
      <c r="E38" s="14" t="s">
        <v>467</v>
      </c>
    </row>
    <row r="39" customFormat="false" ht="15" hidden="false" customHeight="false" outlineLevel="0" collapsed="false">
      <c r="A39" s="14" t="n">
        <v>3</v>
      </c>
      <c r="B39" s="14" t="s">
        <v>464</v>
      </c>
      <c r="C39" s="14" t="s">
        <v>417</v>
      </c>
      <c r="D39" s="14" t="s">
        <v>417</v>
      </c>
      <c r="E39" s="14" t="s">
        <v>469</v>
      </c>
    </row>
    <row r="40" customFormat="false" ht="15" hidden="false" customHeight="false" outlineLevel="0" collapsed="false">
      <c r="A40" s="14" t="n">
        <v>4</v>
      </c>
      <c r="B40" s="14" t="s">
        <v>464</v>
      </c>
      <c r="C40" s="14" t="s">
        <v>411</v>
      </c>
      <c r="D40" s="14" t="s">
        <v>470</v>
      </c>
      <c r="E40" s="14" t="s">
        <v>471</v>
      </c>
    </row>
    <row r="41" customFormat="false" ht="15" hidden="false" customHeight="false" outlineLevel="0" collapsed="false">
      <c r="A41" s="14" t="n">
        <v>5</v>
      </c>
      <c r="B41" s="14" t="s">
        <v>464</v>
      </c>
      <c r="C41" s="14" t="s">
        <v>472</v>
      </c>
      <c r="D41" s="14" t="s">
        <v>402</v>
      </c>
      <c r="E41" s="14" t="s">
        <v>473</v>
      </c>
    </row>
    <row r="42" customFormat="false" ht="15" hidden="false" customHeight="false" outlineLevel="0" collapsed="false">
      <c r="A42" s="14" t="n">
        <v>6</v>
      </c>
      <c r="B42" s="14" t="s">
        <v>464</v>
      </c>
      <c r="C42" s="14" t="s">
        <v>474</v>
      </c>
      <c r="D42" s="14" t="s">
        <v>402</v>
      </c>
      <c r="E42" s="14" t="s">
        <v>475</v>
      </c>
    </row>
    <row r="43" customFormat="false" ht="15" hidden="false" customHeight="false" outlineLevel="0" collapsed="false">
      <c r="A43" s="14" t="n">
        <v>7</v>
      </c>
      <c r="B43" s="14" t="s">
        <v>476</v>
      </c>
      <c r="C43" s="14" t="s">
        <v>477</v>
      </c>
      <c r="D43" s="14" t="s">
        <v>478</v>
      </c>
      <c r="E43" s="14" t="s">
        <v>95</v>
      </c>
    </row>
    <row r="44" customFormat="false" ht="15" hidden="false" customHeight="false" outlineLevel="0" collapsed="false">
      <c r="A44" s="14" t="n">
        <v>8</v>
      </c>
      <c r="B44" s="14" t="s">
        <v>476</v>
      </c>
      <c r="C44" s="14" t="s">
        <v>479</v>
      </c>
      <c r="D44" s="14" t="s">
        <v>478</v>
      </c>
      <c r="E44" s="14" t="s">
        <v>95</v>
      </c>
    </row>
    <row r="45" customFormat="false" ht="15" hidden="false" customHeight="false" outlineLevel="0" collapsed="false">
      <c r="A45" s="14" t="n">
        <v>9</v>
      </c>
      <c r="B45" s="14" t="s">
        <v>480</v>
      </c>
      <c r="C45" s="14" t="s">
        <v>481</v>
      </c>
      <c r="D45" s="14" t="s">
        <v>482</v>
      </c>
      <c r="E45" s="14" t="s">
        <v>483</v>
      </c>
    </row>
    <row r="46" customFormat="false" ht="23.85" hidden="false" customHeight="false" outlineLevel="0" collapsed="false">
      <c r="A46" s="14" t="n">
        <v>10</v>
      </c>
      <c r="B46" s="14" t="s">
        <v>480</v>
      </c>
      <c r="C46" s="14" t="s">
        <v>484</v>
      </c>
      <c r="D46" s="14" t="s">
        <v>482</v>
      </c>
      <c r="E46" s="14" t="s">
        <v>485</v>
      </c>
    </row>
    <row r="48" customFormat="false" ht="15" hidden="false" customHeight="false" outlineLevel="0" collapsed="false">
      <c r="A48" s="3" t="s">
        <v>486</v>
      </c>
      <c r="B48" s="3"/>
      <c r="C48" s="3"/>
      <c r="D48" s="3"/>
      <c r="E48" s="3"/>
    </row>
    <row r="49" customFormat="false" ht="15" hidden="false" customHeight="false" outlineLevel="0" collapsed="false">
      <c r="A49" s="13" t="s">
        <v>382</v>
      </c>
      <c r="B49" s="13" t="s">
        <v>487</v>
      </c>
      <c r="C49" s="13" t="s">
        <v>488</v>
      </c>
      <c r="D49" s="13" t="s">
        <v>489</v>
      </c>
      <c r="E49" s="13" t="s">
        <v>490</v>
      </c>
    </row>
    <row r="50" customFormat="false" ht="15" hidden="false" customHeight="false" outlineLevel="0" collapsed="false">
      <c r="A50" s="14" t="n">
        <v>1</v>
      </c>
      <c r="B50" s="14" t="s">
        <v>491</v>
      </c>
      <c r="C50" s="14" t="s">
        <v>492</v>
      </c>
      <c r="D50" s="14" t="s">
        <v>493</v>
      </c>
      <c r="E50" s="14" t="s">
        <v>494</v>
      </c>
    </row>
    <row r="51" customFormat="false" ht="15" hidden="false" customHeight="false" outlineLevel="0" collapsed="false">
      <c r="A51" s="14" t="n">
        <v>2</v>
      </c>
      <c r="B51" s="14" t="s">
        <v>491</v>
      </c>
      <c r="C51" s="14" t="s">
        <v>495</v>
      </c>
      <c r="D51" s="14" t="s">
        <v>496</v>
      </c>
      <c r="E51" s="14" t="s">
        <v>497</v>
      </c>
    </row>
    <row r="52" customFormat="false" ht="15" hidden="false" customHeight="false" outlineLevel="0" collapsed="false">
      <c r="A52" s="14" t="n">
        <v>3</v>
      </c>
      <c r="B52" s="14" t="s">
        <v>491</v>
      </c>
      <c r="C52" s="14" t="s">
        <v>498</v>
      </c>
      <c r="D52" s="14" t="s">
        <v>499</v>
      </c>
      <c r="E52" s="14" t="s">
        <v>497</v>
      </c>
    </row>
    <row r="53" customFormat="false" ht="15" hidden="false" customHeight="false" outlineLevel="0" collapsed="false">
      <c r="A53" s="14" t="n">
        <v>4</v>
      </c>
      <c r="B53" s="14" t="s">
        <v>500</v>
      </c>
      <c r="C53" s="14" t="s">
        <v>501</v>
      </c>
      <c r="D53" s="14" t="s">
        <v>502</v>
      </c>
      <c r="E53" s="14" t="s">
        <v>95</v>
      </c>
    </row>
    <row r="54" customFormat="false" ht="15" hidden="false" customHeight="false" outlineLevel="0" collapsed="false">
      <c r="A54" s="14" t="n">
        <v>5</v>
      </c>
      <c r="B54" s="14" t="s">
        <v>500</v>
      </c>
      <c r="C54" s="14" t="s">
        <v>503</v>
      </c>
      <c r="D54" s="14" t="s">
        <v>504</v>
      </c>
      <c r="E54" s="14" t="s">
        <v>505</v>
      </c>
    </row>
    <row r="56" customFormat="false" ht="15" hidden="false" customHeight="false" outlineLevel="0" collapsed="false">
      <c r="A56" s="3" t="s">
        <v>506</v>
      </c>
      <c r="B56" s="3"/>
      <c r="C56" s="3"/>
      <c r="D56" s="3"/>
      <c r="E56" s="3"/>
    </row>
    <row r="57" customFormat="false" ht="15" hidden="false" customHeight="false" outlineLevel="0" collapsed="false">
      <c r="A57" s="13" t="s">
        <v>382</v>
      </c>
      <c r="B57" s="13" t="s">
        <v>507</v>
      </c>
      <c r="C57" s="13" t="s">
        <v>508</v>
      </c>
      <c r="D57" s="13" t="s">
        <v>509</v>
      </c>
      <c r="E57" s="13" t="s">
        <v>154</v>
      </c>
    </row>
    <row r="58" customFormat="false" ht="15" hidden="false" customHeight="false" outlineLevel="0" collapsed="false">
      <c r="A58" s="14" t="n">
        <v>1</v>
      </c>
      <c r="B58" s="14" t="s">
        <v>510</v>
      </c>
      <c r="C58" s="14" t="s">
        <v>511</v>
      </c>
      <c r="D58" s="14" t="s">
        <v>512</v>
      </c>
      <c r="E58" s="14" t="s">
        <v>513</v>
      </c>
    </row>
    <row r="59" customFormat="false" ht="15" hidden="false" customHeight="false" outlineLevel="0" collapsed="false">
      <c r="A59" s="14" t="n">
        <v>2</v>
      </c>
      <c r="B59" s="14" t="s">
        <v>514</v>
      </c>
      <c r="C59" s="14" t="s">
        <v>515</v>
      </c>
      <c r="D59" s="14" t="s">
        <v>516</v>
      </c>
      <c r="E59" s="14" t="s">
        <v>517</v>
      </c>
    </row>
    <row r="60" customFormat="false" ht="23.85" hidden="false" customHeight="false" outlineLevel="0" collapsed="false">
      <c r="A60" s="14" t="n">
        <v>3</v>
      </c>
      <c r="B60" s="14" t="s">
        <v>518</v>
      </c>
      <c r="C60" s="14" t="s">
        <v>519</v>
      </c>
      <c r="D60" s="14" t="s">
        <v>520</v>
      </c>
      <c r="E60" s="14" t="s">
        <v>521</v>
      </c>
    </row>
    <row r="61" customFormat="false" ht="15" hidden="false" customHeight="false" outlineLevel="0" collapsed="false">
      <c r="A61" s="14" t="n">
        <v>4</v>
      </c>
      <c r="B61" s="14" t="s">
        <v>522</v>
      </c>
      <c r="C61" s="14" t="s">
        <v>523</v>
      </c>
      <c r="D61" s="14" t="s">
        <v>95</v>
      </c>
      <c r="E61" s="14" t="s">
        <v>524</v>
      </c>
    </row>
    <row r="62" customFormat="false" ht="15" hidden="false" customHeight="false" outlineLevel="0" collapsed="false">
      <c r="A62" s="14" t="n">
        <v>5</v>
      </c>
      <c r="B62" s="14" t="s">
        <v>525</v>
      </c>
      <c r="C62" s="14" t="s">
        <v>526</v>
      </c>
      <c r="D62" s="14" t="s">
        <v>95</v>
      </c>
      <c r="E62" s="14" t="s">
        <v>527</v>
      </c>
    </row>
    <row r="63" customFormat="false" ht="15" hidden="false" customHeight="false" outlineLevel="0" collapsed="false">
      <c r="A63" s="14" t="n">
        <v>6</v>
      </c>
      <c r="B63" s="14" t="s">
        <v>528</v>
      </c>
      <c r="C63" s="14" t="s">
        <v>529</v>
      </c>
      <c r="D63" s="14" t="s">
        <v>95</v>
      </c>
      <c r="E63" s="14" t="s">
        <v>530</v>
      </c>
    </row>
    <row r="64" customFormat="false" ht="15" hidden="false" customHeight="false" outlineLevel="0" collapsed="false">
      <c r="A64" s="14" t="n">
        <v>7</v>
      </c>
      <c r="B64" s="14" t="s">
        <v>531</v>
      </c>
      <c r="C64" s="14" t="s">
        <v>532</v>
      </c>
      <c r="D64" s="14" t="s">
        <v>95</v>
      </c>
      <c r="E64" s="14" t="s">
        <v>533</v>
      </c>
    </row>
    <row r="66" customFormat="false" ht="15" hidden="false" customHeight="false" outlineLevel="0" collapsed="false">
      <c r="A66" s="3" t="s">
        <v>534</v>
      </c>
      <c r="B66" s="3"/>
      <c r="C66" s="3"/>
      <c r="D66" s="3"/>
      <c r="E66" s="3"/>
    </row>
    <row r="67" customFormat="false" ht="15" hidden="false" customHeight="false" outlineLevel="0" collapsed="false">
      <c r="A67" s="13" t="s">
        <v>382</v>
      </c>
      <c r="B67" s="13" t="s">
        <v>535</v>
      </c>
      <c r="C67" s="13" t="s">
        <v>536</v>
      </c>
      <c r="D67" s="13" t="s">
        <v>537</v>
      </c>
      <c r="E67" s="13" t="s">
        <v>154</v>
      </c>
    </row>
    <row r="68" customFormat="false" ht="15" hidden="false" customHeight="false" outlineLevel="0" collapsed="false">
      <c r="A68" s="14" t="n">
        <v>1</v>
      </c>
      <c r="B68" s="14" t="s">
        <v>538</v>
      </c>
      <c r="C68" s="14" t="s">
        <v>539</v>
      </c>
      <c r="D68" s="14" t="s">
        <v>540</v>
      </c>
      <c r="E68" s="14" t="s">
        <v>120</v>
      </c>
    </row>
    <row r="69" customFormat="false" ht="15" hidden="false" customHeight="false" outlineLevel="0" collapsed="false">
      <c r="A69" s="14" t="n">
        <v>2</v>
      </c>
      <c r="B69" s="14" t="s">
        <v>541</v>
      </c>
      <c r="C69" s="14" t="s">
        <v>539</v>
      </c>
      <c r="D69" s="14" t="s">
        <v>542</v>
      </c>
      <c r="E69" s="14" t="s">
        <v>120</v>
      </c>
    </row>
    <row r="70" customFormat="false" ht="15" hidden="false" customHeight="false" outlineLevel="0" collapsed="false">
      <c r="A70" s="14" t="n">
        <v>3</v>
      </c>
      <c r="B70" s="14" t="s">
        <v>543</v>
      </c>
      <c r="C70" s="14" t="s">
        <v>539</v>
      </c>
      <c r="D70" s="14" t="s">
        <v>544</v>
      </c>
      <c r="E70" s="14" t="s">
        <v>120</v>
      </c>
    </row>
    <row r="71" customFormat="false" ht="15" hidden="false" customHeight="false" outlineLevel="0" collapsed="false">
      <c r="A71" s="14" t="n">
        <v>4</v>
      </c>
      <c r="B71" s="14" t="s">
        <v>545</v>
      </c>
      <c r="C71" s="14" t="s">
        <v>539</v>
      </c>
      <c r="D71" s="14" t="s">
        <v>546</v>
      </c>
      <c r="E71" s="14" t="s">
        <v>120</v>
      </c>
    </row>
    <row r="72" customFormat="false" ht="15" hidden="false" customHeight="false" outlineLevel="0" collapsed="false">
      <c r="A72" s="14" t="n">
        <v>5</v>
      </c>
      <c r="B72" s="14" t="s">
        <v>547</v>
      </c>
      <c r="C72" s="14" t="s">
        <v>539</v>
      </c>
      <c r="D72" s="14" t="s">
        <v>548</v>
      </c>
      <c r="E72" s="14" t="s">
        <v>120</v>
      </c>
    </row>
    <row r="74" customFormat="false" ht="15" hidden="false" customHeight="false" outlineLevel="0" collapsed="false">
      <c r="A74" s="3" t="s">
        <v>549</v>
      </c>
      <c r="B74" s="3"/>
      <c r="C74" s="3"/>
      <c r="D74" s="3"/>
      <c r="E74" s="3"/>
    </row>
    <row r="75" customFormat="false" ht="15" hidden="false" customHeight="false" outlineLevel="0" collapsed="false">
      <c r="A75" s="13" t="s">
        <v>382</v>
      </c>
      <c r="B75" s="13" t="s">
        <v>550</v>
      </c>
      <c r="C75" s="13" t="s">
        <v>551</v>
      </c>
      <c r="D75" s="13" t="s">
        <v>552</v>
      </c>
      <c r="E75" s="13" t="s">
        <v>154</v>
      </c>
    </row>
    <row r="76" customFormat="false" ht="35.05" hidden="false" customHeight="false" outlineLevel="0" collapsed="false">
      <c r="A76" s="14" t="n">
        <v>1</v>
      </c>
      <c r="B76" s="14" t="s">
        <v>553</v>
      </c>
      <c r="C76" s="14" t="s">
        <v>554</v>
      </c>
      <c r="D76" s="14" t="s">
        <v>116</v>
      </c>
      <c r="E76" s="14" t="s">
        <v>555</v>
      </c>
    </row>
    <row r="77" customFormat="false" ht="23.85" hidden="false" customHeight="false" outlineLevel="0" collapsed="false">
      <c r="A77" s="14" t="n">
        <v>2</v>
      </c>
      <c r="B77" s="14" t="s">
        <v>556</v>
      </c>
      <c r="C77" s="14" t="s">
        <v>557</v>
      </c>
      <c r="D77" s="14" t="s">
        <v>558</v>
      </c>
      <c r="E77" s="14" t="s">
        <v>559</v>
      </c>
    </row>
    <row r="78" customFormat="false" ht="35.05" hidden="false" customHeight="false" outlineLevel="0" collapsed="false">
      <c r="A78" s="14" t="n">
        <v>3</v>
      </c>
      <c r="B78" s="14" t="s">
        <v>560</v>
      </c>
      <c r="C78" s="14" t="s">
        <v>561</v>
      </c>
      <c r="D78" s="14" t="s">
        <v>558</v>
      </c>
      <c r="E78" s="14" t="s">
        <v>95</v>
      </c>
    </row>
    <row r="79" customFormat="false" ht="23.85" hidden="false" customHeight="false" outlineLevel="0" collapsed="false">
      <c r="A79" s="14" t="n">
        <v>4</v>
      </c>
      <c r="B79" s="14" t="s">
        <v>562</v>
      </c>
      <c r="C79" s="14" t="s">
        <v>563</v>
      </c>
      <c r="D79" s="14" t="s">
        <v>558</v>
      </c>
      <c r="E79" s="14" t="s">
        <v>95</v>
      </c>
    </row>
    <row r="80" customFormat="false" ht="35.05" hidden="false" customHeight="false" outlineLevel="0" collapsed="false">
      <c r="A80" s="14" t="n">
        <v>5</v>
      </c>
      <c r="B80" s="14" t="s">
        <v>564</v>
      </c>
      <c r="C80" s="14" t="s">
        <v>565</v>
      </c>
      <c r="D80" s="14" t="s">
        <v>558</v>
      </c>
      <c r="E80" s="14" t="s">
        <v>95</v>
      </c>
    </row>
    <row r="81" customFormat="false" ht="15" hidden="false" customHeight="false" outlineLevel="0" collapsed="false">
      <c r="A81" s="14" t="n">
        <v>6</v>
      </c>
      <c r="B81" s="14" t="s">
        <v>128</v>
      </c>
      <c r="C81" s="14" t="s">
        <v>566</v>
      </c>
      <c r="D81" s="14" t="s">
        <v>558</v>
      </c>
      <c r="E81" s="14" t="s">
        <v>95</v>
      </c>
    </row>
  </sheetData>
  <mergeCells count="10">
    <mergeCell ref="A1:E1"/>
    <mergeCell ref="A2:E2"/>
    <mergeCell ref="A4:E4"/>
    <mergeCell ref="A19:E19"/>
    <mergeCell ref="A28:E28"/>
    <mergeCell ref="A35:E35"/>
    <mergeCell ref="A48:E48"/>
    <mergeCell ref="A56:E56"/>
    <mergeCell ref="A66:E66"/>
    <mergeCell ref="A74:E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2026-04-10T05:41:51Z</dcterms:created>
  <dc:creator>openpyxl</dc:creator>
  <dc:description/>
  <dc:language>en-US</dc:language>
  <cp:lastModifiedBy/>
  <dcterms:modified xsi:type="dcterms:W3CDTF">2026-04-10T07:24:27Z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